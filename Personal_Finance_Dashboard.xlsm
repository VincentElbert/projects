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USER\Desktop\"/>
    </mc:Choice>
  </mc:AlternateContent>
  <xr:revisionPtr revIDLastSave="0" documentId="13_ncr:1_{0FEB8B40-A99B-46AB-8E1D-9A831FC8BD00}" xr6:coauthVersionLast="47" xr6:coauthVersionMax="47" xr10:uidLastSave="{00000000-0000-0000-0000-000000000000}"/>
  <bookViews>
    <workbookView xWindow="-110" yWindow="-110" windowWidth="19420" windowHeight="11020" activeTab="1" xr2:uid="{599CBDBA-6DCB-491A-8F55-440439BE8440}"/>
  </bookViews>
  <sheets>
    <sheet name="Input" sheetId="9" r:id="rId1"/>
    <sheet name="Dashboard" sheetId="3" r:id="rId2"/>
    <sheet name="Analysis" sheetId="8" r:id="rId3"/>
    <sheet name="Transactions" sheetId="1" r:id="rId4"/>
    <sheet name="Data Validation" sheetId="7" r:id="rId5"/>
  </sheets>
  <externalReferences>
    <externalReference r:id="rId6"/>
    <externalReference r:id="rId7"/>
  </externalReferences>
  <definedNames>
    <definedName name="_xlchart.v1.0" hidden="1">Analysis!$K$19</definedName>
    <definedName name="_xlchart.v1.1" hidden="1">Analysis!$K$21:$K$28</definedName>
    <definedName name="_xlchart.v1.10" hidden="1">Analysis!$K$21:$K$28</definedName>
    <definedName name="_xlchart.v1.11" hidden="1">Analysis!$L$21:$L$28</definedName>
    <definedName name="_xlchart.v1.2" hidden="1">Analysis!$L$21:$L$28</definedName>
    <definedName name="_xlchart.v1.3" hidden="1">(Analysis!$G$23:$G$57,Analysis!$H$23:$H$57)</definedName>
    <definedName name="_xlchart.v1.4" hidden="1">Analysis!$G$21</definedName>
    <definedName name="_xlchart.v1.5" hidden="1">Analysis!$I$23:$I$57</definedName>
    <definedName name="_xlchart.v1.6" hidden="1">Analysis!$K$19</definedName>
    <definedName name="_xlchart.v1.7" hidden="1">Analysis!$K$21:$K$28</definedName>
    <definedName name="_xlchart.v1.8" hidden="1">Analysis!$L$21:$L$28</definedName>
    <definedName name="_xlchart.v1.9" hidden="1">Analysis!$K$19</definedName>
    <definedName name="_xlcn.WorksheetConnection_InfoB6B7" hidden="1">#REF!</definedName>
    <definedName name="Account">Table5[Account]</definedName>
    <definedName name="Categories">[1]!TblDV[Sub-category]</definedName>
    <definedName name="last7Days">Table7[Date]</definedName>
    <definedName name="Slicer_Category">#N/A</definedName>
    <definedName name="Slicer_Date">#N/A</definedName>
    <definedName name="stock_chart_data">_xlfn.STOCKHISTORY('[2]Watch List'!$J$5&amp;":"&amp;'[2]Watch List'!$K$5,TODAY()-30,TODAY(),0,1,0,5,2,3,4,1)</definedName>
    <definedName name="sub_categories">TblDV[Sub-category]</definedName>
  </definedNames>
  <calcPr calcId="191029"/>
  <pivotCaches>
    <pivotCache cacheId="1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 i="3" l="1"/>
  <c r="Y1" i="3"/>
  <c r="S1" i="3" l="1"/>
  <c r="P1" i="3"/>
  <c r="M1" i="3"/>
  <c r="J1" i="3"/>
  <c r="H487" i="1" l="1"/>
  <c r="G487" i="1"/>
  <c r="E487" i="1"/>
  <c r="H486" i="1"/>
  <c r="G486" i="1"/>
  <c r="E486" i="1"/>
  <c r="H485" i="1"/>
  <c r="G485" i="1"/>
  <c r="E485" i="1"/>
  <c r="H484" i="1"/>
  <c r="G484" i="1"/>
  <c r="E484" i="1"/>
  <c r="H483" i="1"/>
  <c r="G483" i="1"/>
  <c r="E483" i="1"/>
  <c r="H482" i="1"/>
  <c r="G482" i="1"/>
  <c r="E482" i="1"/>
  <c r="H481" i="1"/>
  <c r="G481" i="1"/>
  <c r="E481" i="1"/>
  <c r="H480" i="1"/>
  <c r="G480" i="1"/>
  <c r="E480" i="1"/>
  <c r="H479" i="1"/>
  <c r="G479" i="1"/>
  <c r="E479" i="1"/>
  <c r="H478" i="1"/>
  <c r="G478" i="1"/>
  <c r="E478" i="1"/>
  <c r="H477" i="1"/>
  <c r="G477" i="1"/>
  <c r="E477" i="1"/>
  <c r="H476" i="1"/>
  <c r="G476" i="1"/>
  <c r="E476" i="1"/>
  <c r="H475" i="1"/>
  <c r="G475" i="1"/>
  <c r="E475" i="1"/>
  <c r="H474" i="1"/>
  <c r="G474" i="1"/>
  <c r="E474" i="1"/>
  <c r="H473" i="1"/>
  <c r="G473" i="1"/>
  <c r="E473" i="1"/>
  <c r="H472" i="1"/>
  <c r="G472" i="1"/>
  <c r="E472" i="1"/>
  <c r="H471" i="1"/>
  <c r="G471" i="1"/>
  <c r="E471" i="1"/>
  <c r="H470" i="1"/>
  <c r="G470" i="1"/>
  <c r="E470" i="1"/>
  <c r="H469" i="1"/>
  <c r="G469" i="1"/>
  <c r="E469" i="1"/>
  <c r="H468" i="1"/>
  <c r="G468" i="1"/>
  <c r="E468" i="1"/>
  <c r="H467" i="1"/>
  <c r="G467" i="1"/>
  <c r="E467" i="1"/>
  <c r="H466" i="1"/>
  <c r="G466" i="1"/>
  <c r="E466" i="1"/>
  <c r="H465" i="1"/>
  <c r="G465" i="1"/>
  <c r="E465" i="1"/>
  <c r="H464" i="1"/>
  <c r="G464" i="1"/>
  <c r="E464" i="1"/>
  <c r="H463" i="1"/>
  <c r="G463" i="1"/>
  <c r="E463" i="1"/>
  <c r="H462" i="1"/>
  <c r="G462" i="1"/>
  <c r="E462" i="1"/>
  <c r="H461" i="1"/>
  <c r="G461" i="1"/>
  <c r="E461" i="1"/>
  <c r="H460" i="1"/>
  <c r="G460" i="1"/>
  <c r="E460" i="1"/>
  <c r="H459" i="1"/>
  <c r="G459" i="1"/>
  <c r="E459" i="1"/>
  <c r="H458" i="1"/>
  <c r="G458" i="1"/>
  <c r="E458" i="1"/>
  <c r="H457" i="1"/>
  <c r="G457" i="1"/>
  <c r="E457" i="1"/>
  <c r="H456" i="1"/>
  <c r="G456" i="1"/>
  <c r="E456" i="1"/>
  <c r="H455" i="1"/>
  <c r="G455" i="1"/>
  <c r="E455" i="1"/>
  <c r="H454" i="1"/>
  <c r="G454" i="1"/>
  <c r="E454" i="1"/>
  <c r="H453" i="1"/>
  <c r="G453" i="1"/>
  <c r="E453" i="1"/>
  <c r="H452" i="1"/>
  <c r="G452" i="1"/>
  <c r="E452" i="1"/>
  <c r="H451" i="1"/>
  <c r="G451" i="1"/>
  <c r="E451" i="1"/>
  <c r="H450" i="1"/>
  <c r="G450" i="1"/>
  <c r="E450" i="1"/>
  <c r="H449" i="1"/>
  <c r="G449" i="1"/>
  <c r="E449" i="1"/>
  <c r="H448" i="1"/>
  <c r="G448" i="1"/>
  <c r="E448" i="1"/>
  <c r="H447" i="1"/>
  <c r="G447" i="1"/>
  <c r="E447" i="1"/>
  <c r="H446" i="1"/>
  <c r="G446" i="1"/>
  <c r="E446" i="1"/>
  <c r="H445" i="1"/>
  <c r="G445" i="1"/>
  <c r="E445" i="1"/>
  <c r="H444" i="1"/>
  <c r="G444" i="1"/>
  <c r="E444" i="1"/>
  <c r="H443" i="1"/>
  <c r="G443" i="1"/>
  <c r="E443" i="1"/>
  <c r="H442" i="1"/>
  <c r="G442" i="1"/>
  <c r="E442" i="1"/>
  <c r="H441" i="1"/>
  <c r="G441" i="1"/>
  <c r="E441" i="1"/>
  <c r="H440" i="1"/>
  <c r="G440" i="1"/>
  <c r="E440" i="1"/>
  <c r="H439" i="1"/>
  <c r="G439" i="1"/>
  <c r="E439" i="1"/>
  <c r="H438" i="1"/>
  <c r="G438" i="1"/>
  <c r="E438" i="1"/>
  <c r="H437" i="1"/>
  <c r="G437" i="1"/>
  <c r="E437" i="1"/>
  <c r="H436" i="1"/>
  <c r="G436" i="1"/>
  <c r="E436" i="1"/>
  <c r="H435" i="1"/>
  <c r="G435" i="1"/>
  <c r="E435" i="1"/>
  <c r="H434" i="1"/>
  <c r="G434" i="1"/>
  <c r="E434" i="1"/>
  <c r="H433" i="1"/>
  <c r="G433" i="1"/>
  <c r="E433" i="1"/>
  <c r="H432" i="1"/>
  <c r="G432" i="1"/>
  <c r="E432" i="1"/>
  <c r="H431" i="1"/>
  <c r="G431" i="1"/>
  <c r="E431" i="1"/>
  <c r="H430" i="1"/>
  <c r="G430" i="1"/>
  <c r="E430" i="1"/>
  <c r="H429" i="1"/>
  <c r="G429" i="1"/>
  <c r="E429" i="1"/>
  <c r="H428" i="1"/>
  <c r="G428" i="1"/>
  <c r="E428" i="1"/>
  <c r="H427" i="1"/>
  <c r="G427" i="1"/>
  <c r="E427" i="1"/>
  <c r="H426" i="1"/>
  <c r="G426" i="1"/>
  <c r="E426" i="1"/>
  <c r="H425" i="1"/>
  <c r="G425" i="1"/>
  <c r="E425" i="1"/>
  <c r="H424" i="1"/>
  <c r="G424" i="1"/>
  <c r="E424" i="1"/>
  <c r="H423" i="1"/>
  <c r="G423" i="1"/>
  <c r="E423" i="1"/>
  <c r="H422" i="1"/>
  <c r="G422" i="1"/>
  <c r="E422" i="1"/>
  <c r="H421" i="1"/>
  <c r="G421" i="1"/>
  <c r="E421" i="1"/>
  <c r="H420" i="1"/>
  <c r="G420" i="1"/>
  <c r="E420" i="1"/>
  <c r="H419" i="1"/>
  <c r="G419" i="1"/>
  <c r="E419" i="1"/>
  <c r="H418" i="1"/>
  <c r="G418" i="1"/>
  <c r="E418" i="1"/>
  <c r="H417" i="1"/>
  <c r="G417" i="1"/>
  <c r="E417" i="1"/>
  <c r="H416" i="1"/>
  <c r="G416" i="1"/>
  <c r="E416" i="1"/>
  <c r="H415" i="1"/>
  <c r="G415" i="1"/>
  <c r="E415" i="1"/>
  <c r="H414" i="1"/>
  <c r="G414" i="1"/>
  <c r="E414" i="1"/>
  <c r="H413" i="1"/>
  <c r="G413" i="1"/>
  <c r="E413" i="1"/>
  <c r="H412" i="1"/>
  <c r="G412" i="1"/>
  <c r="E412" i="1"/>
  <c r="H411" i="1"/>
  <c r="G411" i="1"/>
  <c r="E411" i="1"/>
  <c r="H410" i="1"/>
  <c r="G410" i="1"/>
  <c r="E410" i="1"/>
  <c r="H409" i="1"/>
  <c r="G409" i="1"/>
  <c r="E409" i="1"/>
  <c r="H408" i="1"/>
  <c r="G408" i="1"/>
  <c r="E408" i="1"/>
  <c r="H407" i="1"/>
  <c r="G407" i="1"/>
  <c r="E407" i="1"/>
  <c r="H406" i="1"/>
  <c r="G406" i="1"/>
  <c r="E406" i="1"/>
  <c r="H405" i="1"/>
  <c r="G405" i="1"/>
  <c r="E405" i="1"/>
  <c r="H404" i="1"/>
  <c r="G404" i="1"/>
  <c r="E404" i="1"/>
  <c r="H403" i="1"/>
  <c r="G403" i="1"/>
  <c r="E403" i="1"/>
  <c r="H402" i="1"/>
  <c r="G402" i="1"/>
  <c r="E402" i="1"/>
  <c r="H401" i="1"/>
  <c r="G401" i="1"/>
  <c r="E401" i="1"/>
  <c r="H400" i="1"/>
  <c r="G400" i="1"/>
  <c r="E400" i="1"/>
  <c r="H399" i="1"/>
  <c r="G399" i="1"/>
  <c r="E399" i="1"/>
  <c r="H398" i="1"/>
  <c r="G398" i="1"/>
  <c r="E398" i="1"/>
  <c r="H397" i="1"/>
  <c r="G397" i="1"/>
  <c r="E397" i="1"/>
  <c r="H396" i="1"/>
  <c r="G396" i="1"/>
  <c r="E396" i="1"/>
  <c r="H395" i="1"/>
  <c r="G395" i="1"/>
  <c r="E395" i="1"/>
  <c r="H394" i="1"/>
  <c r="G394" i="1"/>
  <c r="E394" i="1"/>
  <c r="H393" i="1"/>
  <c r="G393" i="1"/>
  <c r="E393" i="1"/>
  <c r="H392" i="1"/>
  <c r="G392" i="1"/>
  <c r="E392" i="1"/>
  <c r="H391" i="1"/>
  <c r="G391" i="1"/>
  <c r="E391" i="1"/>
  <c r="H390" i="1"/>
  <c r="G390" i="1"/>
  <c r="E390" i="1"/>
  <c r="H389" i="1"/>
  <c r="G389" i="1"/>
  <c r="E389" i="1"/>
  <c r="H388" i="1"/>
  <c r="G388" i="1"/>
  <c r="E388" i="1"/>
  <c r="H387" i="1"/>
  <c r="G387" i="1"/>
  <c r="E387" i="1"/>
  <c r="H386" i="1"/>
  <c r="G386" i="1"/>
  <c r="E386" i="1"/>
  <c r="H385" i="1"/>
  <c r="G385" i="1"/>
  <c r="E385" i="1"/>
  <c r="H384" i="1"/>
  <c r="G384" i="1"/>
  <c r="E384" i="1"/>
  <c r="H383" i="1"/>
  <c r="G383" i="1"/>
  <c r="E383" i="1"/>
  <c r="H382" i="1"/>
  <c r="G382" i="1"/>
  <c r="E382" i="1"/>
  <c r="H381" i="1"/>
  <c r="G381" i="1"/>
  <c r="E381" i="1"/>
  <c r="H380" i="1"/>
  <c r="G380" i="1"/>
  <c r="E380" i="1"/>
  <c r="H379" i="1"/>
  <c r="G379" i="1"/>
  <c r="E379" i="1"/>
  <c r="H378" i="1"/>
  <c r="G378" i="1"/>
  <c r="E378" i="1"/>
  <c r="H377" i="1"/>
  <c r="G377" i="1"/>
  <c r="E377" i="1"/>
  <c r="H376" i="1"/>
  <c r="G376" i="1"/>
  <c r="E376" i="1"/>
  <c r="H375" i="1"/>
  <c r="G375" i="1"/>
  <c r="E375" i="1"/>
  <c r="H374" i="1"/>
  <c r="G374" i="1"/>
  <c r="E374" i="1"/>
  <c r="H373" i="1"/>
  <c r="G373" i="1"/>
  <c r="E373" i="1"/>
  <c r="H372" i="1"/>
  <c r="G372" i="1"/>
  <c r="E372" i="1"/>
  <c r="H371" i="1"/>
  <c r="G371" i="1"/>
  <c r="E371" i="1"/>
  <c r="H370" i="1"/>
  <c r="G370" i="1"/>
  <c r="E370" i="1"/>
  <c r="H369" i="1"/>
  <c r="G369" i="1"/>
  <c r="E369" i="1"/>
  <c r="H368" i="1"/>
  <c r="G368" i="1"/>
  <c r="E368" i="1"/>
  <c r="H367" i="1"/>
  <c r="G367" i="1"/>
  <c r="E367" i="1"/>
  <c r="H366" i="1"/>
  <c r="G366" i="1"/>
  <c r="E366" i="1"/>
  <c r="H365" i="1"/>
  <c r="G365" i="1"/>
  <c r="E365" i="1"/>
  <c r="H364" i="1"/>
  <c r="G364" i="1"/>
  <c r="E364" i="1"/>
  <c r="H363" i="1"/>
  <c r="G363" i="1"/>
  <c r="E363" i="1"/>
  <c r="H362" i="1"/>
  <c r="G362" i="1"/>
  <c r="E362" i="1"/>
  <c r="H361" i="1"/>
  <c r="G361" i="1"/>
  <c r="E361" i="1"/>
  <c r="H360" i="1"/>
  <c r="G360" i="1"/>
  <c r="E360" i="1"/>
  <c r="H359" i="1"/>
  <c r="G359" i="1"/>
  <c r="E359" i="1"/>
  <c r="H358" i="1"/>
  <c r="G358" i="1"/>
  <c r="E358" i="1"/>
  <c r="H357" i="1"/>
  <c r="G357" i="1"/>
  <c r="E357" i="1"/>
  <c r="H356" i="1"/>
  <c r="G356" i="1"/>
  <c r="E356" i="1"/>
  <c r="H355" i="1"/>
  <c r="G355" i="1"/>
  <c r="E355" i="1"/>
  <c r="H354" i="1"/>
  <c r="G354" i="1"/>
  <c r="E354" i="1"/>
  <c r="H353" i="1"/>
  <c r="G353" i="1"/>
  <c r="E353" i="1"/>
  <c r="H352" i="1"/>
  <c r="G352" i="1"/>
  <c r="E352" i="1"/>
  <c r="H351" i="1"/>
  <c r="G351" i="1"/>
  <c r="E351" i="1"/>
  <c r="H350" i="1"/>
  <c r="G350" i="1"/>
  <c r="E350" i="1"/>
  <c r="H349" i="1"/>
  <c r="G349" i="1"/>
  <c r="E349" i="1"/>
  <c r="H348" i="1"/>
  <c r="G348" i="1"/>
  <c r="E348" i="1"/>
  <c r="H347" i="1"/>
  <c r="G347" i="1"/>
  <c r="E347" i="1"/>
  <c r="H346" i="1"/>
  <c r="G346" i="1"/>
  <c r="E346" i="1"/>
  <c r="H345" i="1"/>
  <c r="G345" i="1"/>
  <c r="E345" i="1"/>
  <c r="H344" i="1"/>
  <c r="G344" i="1"/>
  <c r="E344" i="1"/>
  <c r="H343" i="1"/>
  <c r="G343" i="1"/>
  <c r="E343" i="1"/>
  <c r="H342" i="1"/>
  <c r="G342" i="1"/>
  <c r="E342" i="1"/>
  <c r="H341" i="1"/>
  <c r="G341" i="1"/>
  <c r="E341" i="1"/>
  <c r="H340" i="1"/>
  <c r="G340" i="1"/>
  <c r="E340" i="1"/>
  <c r="H339" i="1"/>
  <c r="G339" i="1"/>
  <c r="E339" i="1"/>
  <c r="H338" i="1"/>
  <c r="G338" i="1"/>
  <c r="E338" i="1"/>
  <c r="H337" i="1"/>
  <c r="G337" i="1"/>
  <c r="E337" i="1"/>
  <c r="H336" i="1"/>
  <c r="G336" i="1"/>
  <c r="E336" i="1"/>
  <c r="H335" i="1"/>
  <c r="G335" i="1"/>
  <c r="E335" i="1"/>
  <c r="H334" i="1"/>
  <c r="G334" i="1"/>
  <c r="E334" i="1"/>
  <c r="H333" i="1"/>
  <c r="G333" i="1"/>
  <c r="E333" i="1"/>
  <c r="H332" i="1"/>
  <c r="G332" i="1"/>
  <c r="E332" i="1"/>
  <c r="H331" i="1"/>
  <c r="G331" i="1"/>
  <c r="E331" i="1"/>
  <c r="H330" i="1"/>
  <c r="G330" i="1"/>
  <c r="E330" i="1"/>
  <c r="H329" i="1"/>
  <c r="G329" i="1"/>
  <c r="E329" i="1"/>
  <c r="H328" i="1"/>
  <c r="G328" i="1"/>
  <c r="E328" i="1"/>
  <c r="H327" i="1"/>
  <c r="G327" i="1"/>
  <c r="E327" i="1"/>
  <c r="H326" i="1"/>
  <c r="G326" i="1"/>
  <c r="E326" i="1"/>
  <c r="H325" i="1"/>
  <c r="G325" i="1"/>
  <c r="E325" i="1"/>
  <c r="H324" i="1"/>
  <c r="G324" i="1"/>
  <c r="E324" i="1"/>
  <c r="H323" i="1"/>
  <c r="G323" i="1"/>
  <c r="E323" i="1"/>
  <c r="H322" i="1"/>
  <c r="G322" i="1"/>
  <c r="E322" i="1"/>
  <c r="H321" i="1"/>
  <c r="G321" i="1"/>
  <c r="E321" i="1"/>
  <c r="H320" i="1"/>
  <c r="G320" i="1"/>
  <c r="E320" i="1"/>
  <c r="H319" i="1"/>
  <c r="G319" i="1"/>
  <c r="E319" i="1"/>
  <c r="H318" i="1"/>
  <c r="G318" i="1"/>
  <c r="E318" i="1"/>
  <c r="H317" i="1"/>
  <c r="G317" i="1"/>
  <c r="E317" i="1"/>
  <c r="H316" i="1"/>
  <c r="G316" i="1"/>
  <c r="E316" i="1"/>
  <c r="H315" i="1"/>
  <c r="G315" i="1"/>
  <c r="E315" i="1"/>
  <c r="H314" i="1"/>
  <c r="G314" i="1"/>
  <c r="E314" i="1"/>
  <c r="H313" i="1"/>
  <c r="G313" i="1"/>
  <c r="E313" i="1"/>
  <c r="H312" i="1"/>
  <c r="G312" i="1"/>
  <c r="E312" i="1"/>
  <c r="H311" i="1"/>
  <c r="G311" i="1"/>
  <c r="E311" i="1"/>
  <c r="H310" i="1"/>
  <c r="G310" i="1"/>
  <c r="E310" i="1"/>
  <c r="H309" i="1"/>
  <c r="G309" i="1"/>
  <c r="E309" i="1"/>
  <c r="H308" i="1"/>
  <c r="G308" i="1"/>
  <c r="E308" i="1"/>
  <c r="H307" i="1"/>
  <c r="G307" i="1"/>
  <c r="E307" i="1"/>
  <c r="H306" i="1"/>
  <c r="G306" i="1"/>
  <c r="E306" i="1"/>
  <c r="H305" i="1"/>
  <c r="G305" i="1"/>
  <c r="E305" i="1"/>
  <c r="H304" i="1"/>
  <c r="G304" i="1"/>
  <c r="E304" i="1"/>
  <c r="H303" i="1"/>
  <c r="G303" i="1"/>
  <c r="E303" i="1"/>
  <c r="H302" i="1"/>
  <c r="G302" i="1"/>
  <c r="E302" i="1"/>
  <c r="H301" i="1"/>
  <c r="G301" i="1"/>
  <c r="E301" i="1"/>
  <c r="H300" i="1"/>
  <c r="G300" i="1"/>
  <c r="E300" i="1"/>
  <c r="H299" i="1"/>
  <c r="G299" i="1"/>
  <c r="E299" i="1"/>
  <c r="H298" i="1"/>
  <c r="G298" i="1"/>
  <c r="E298" i="1"/>
  <c r="H297" i="1"/>
  <c r="G297" i="1"/>
  <c r="E297" i="1"/>
  <c r="H296" i="1"/>
  <c r="G296" i="1"/>
  <c r="E296" i="1"/>
  <c r="H295" i="1"/>
  <c r="G295" i="1"/>
  <c r="E295" i="1"/>
  <c r="H294" i="1"/>
  <c r="G294" i="1"/>
  <c r="E294" i="1"/>
  <c r="H293" i="1"/>
  <c r="G293" i="1"/>
  <c r="E293" i="1"/>
  <c r="H292" i="1"/>
  <c r="G292" i="1"/>
  <c r="E292" i="1"/>
  <c r="H291" i="1"/>
  <c r="G291" i="1"/>
  <c r="E291" i="1"/>
  <c r="H290" i="1"/>
  <c r="G290" i="1"/>
  <c r="E290" i="1"/>
  <c r="H289" i="1"/>
  <c r="G289" i="1"/>
  <c r="E289" i="1"/>
  <c r="H288" i="1"/>
  <c r="G288" i="1"/>
  <c r="E288" i="1"/>
  <c r="H287" i="1"/>
  <c r="G287" i="1"/>
  <c r="E287" i="1"/>
  <c r="H286" i="1"/>
  <c r="G286" i="1"/>
  <c r="E286" i="1"/>
  <c r="H285" i="1"/>
  <c r="G285" i="1"/>
  <c r="E285" i="1"/>
  <c r="H284" i="1"/>
  <c r="G284" i="1"/>
  <c r="E284" i="1"/>
  <c r="H283" i="1"/>
  <c r="G283" i="1"/>
  <c r="E283" i="1"/>
  <c r="H282" i="1"/>
  <c r="G282" i="1"/>
  <c r="E282" i="1"/>
  <c r="H281" i="1"/>
  <c r="G281" i="1"/>
  <c r="E281" i="1"/>
  <c r="H280" i="1"/>
  <c r="G280" i="1"/>
  <c r="E280" i="1"/>
  <c r="H279" i="1"/>
  <c r="G279" i="1"/>
  <c r="E279" i="1"/>
  <c r="H278" i="1"/>
  <c r="G278" i="1"/>
  <c r="E278" i="1"/>
  <c r="H277" i="1"/>
  <c r="G277" i="1"/>
  <c r="E277" i="1"/>
  <c r="H276" i="1"/>
  <c r="G276" i="1"/>
  <c r="E276" i="1"/>
  <c r="H275" i="1"/>
  <c r="G275" i="1"/>
  <c r="E275" i="1"/>
  <c r="H274" i="1"/>
  <c r="G274" i="1"/>
  <c r="E274" i="1"/>
  <c r="H273" i="1"/>
  <c r="G273" i="1"/>
  <c r="E273" i="1"/>
  <c r="H272" i="1"/>
  <c r="G272" i="1"/>
  <c r="E272" i="1"/>
  <c r="H271" i="1"/>
  <c r="G271" i="1"/>
  <c r="E271" i="1"/>
  <c r="H270" i="1"/>
  <c r="G270" i="1"/>
  <c r="E270" i="1"/>
  <c r="H269" i="1"/>
  <c r="G269" i="1"/>
  <c r="E269" i="1"/>
  <c r="H268" i="1"/>
  <c r="G268" i="1"/>
  <c r="E268" i="1"/>
  <c r="H267" i="1"/>
  <c r="G267" i="1"/>
  <c r="E267" i="1"/>
  <c r="H266" i="1"/>
  <c r="G266" i="1"/>
  <c r="E266" i="1"/>
  <c r="H265" i="1"/>
  <c r="G265" i="1"/>
  <c r="E265" i="1"/>
  <c r="H264" i="1"/>
  <c r="G264" i="1"/>
  <c r="E264" i="1"/>
  <c r="H263" i="1"/>
  <c r="G263" i="1"/>
  <c r="E263" i="1"/>
  <c r="H262" i="1"/>
  <c r="G262" i="1"/>
  <c r="E262" i="1"/>
  <c r="H261" i="1"/>
  <c r="G261" i="1"/>
  <c r="E261" i="1"/>
  <c r="H260" i="1"/>
  <c r="G260" i="1"/>
  <c r="E260" i="1"/>
  <c r="H259" i="1"/>
  <c r="G259" i="1"/>
  <c r="E259" i="1"/>
  <c r="H258" i="1"/>
  <c r="G258" i="1"/>
  <c r="E258" i="1"/>
  <c r="H257" i="1"/>
  <c r="G257" i="1"/>
  <c r="E257" i="1"/>
  <c r="H256" i="1"/>
  <c r="G256" i="1"/>
  <c r="E256" i="1"/>
  <c r="H255" i="1"/>
  <c r="G255" i="1"/>
  <c r="E255" i="1"/>
  <c r="H254" i="1"/>
  <c r="G254" i="1"/>
  <c r="E254" i="1"/>
  <c r="H253" i="1"/>
  <c r="G253" i="1"/>
  <c r="E253" i="1"/>
  <c r="H252" i="1"/>
  <c r="G252" i="1"/>
  <c r="E252" i="1"/>
  <c r="H251" i="1"/>
  <c r="G251" i="1"/>
  <c r="E251" i="1"/>
  <c r="H250" i="1"/>
  <c r="G250" i="1"/>
  <c r="E250" i="1"/>
  <c r="H249" i="1"/>
  <c r="G249" i="1"/>
  <c r="E249" i="1"/>
  <c r="H248" i="1"/>
  <c r="G248" i="1"/>
  <c r="E248" i="1"/>
  <c r="H247" i="1"/>
  <c r="G247" i="1"/>
  <c r="E247" i="1"/>
  <c r="H246" i="1"/>
  <c r="G246" i="1"/>
  <c r="E246" i="1"/>
  <c r="H245" i="1"/>
  <c r="G245" i="1"/>
  <c r="E245" i="1"/>
  <c r="H244" i="1"/>
  <c r="G244" i="1"/>
  <c r="E244" i="1"/>
  <c r="H243" i="1"/>
  <c r="G243" i="1"/>
  <c r="E243" i="1"/>
  <c r="H242" i="1"/>
  <c r="G242" i="1"/>
  <c r="E242" i="1"/>
  <c r="H241" i="1"/>
  <c r="G241" i="1"/>
  <c r="E241" i="1"/>
  <c r="H240" i="1"/>
  <c r="G240" i="1"/>
  <c r="E240" i="1"/>
  <c r="H239" i="1"/>
  <c r="G239" i="1"/>
  <c r="E239" i="1"/>
  <c r="H238" i="1"/>
  <c r="G238" i="1"/>
  <c r="E238" i="1"/>
  <c r="H237" i="1"/>
  <c r="G237" i="1"/>
  <c r="E237" i="1"/>
  <c r="H236" i="1"/>
  <c r="G236" i="1"/>
  <c r="E236" i="1"/>
  <c r="H235" i="1"/>
  <c r="G235" i="1"/>
  <c r="E235" i="1"/>
  <c r="H234" i="1"/>
  <c r="G234" i="1"/>
  <c r="E234" i="1"/>
  <c r="H233" i="1"/>
  <c r="G233" i="1"/>
  <c r="E233" i="1"/>
  <c r="H232" i="1"/>
  <c r="G232" i="1"/>
  <c r="E232" i="1"/>
  <c r="H231" i="1"/>
  <c r="G231" i="1"/>
  <c r="E231" i="1"/>
  <c r="H230" i="1"/>
  <c r="G230" i="1"/>
  <c r="E230" i="1"/>
  <c r="H229" i="1"/>
  <c r="G229" i="1"/>
  <c r="E229" i="1"/>
  <c r="H228" i="1"/>
  <c r="G228" i="1"/>
  <c r="E228" i="1"/>
  <c r="H227" i="1"/>
  <c r="G227" i="1"/>
  <c r="E227" i="1"/>
  <c r="H226" i="1"/>
  <c r="G226" i="1"/>
  <c r="E226" i="1"/>
  <c r="H225" i="1"/>
  <c r="G225" i="1"/>
  <c r="E225" i="1"/>
  <c r="H224" i="1"/>
  <c r="G224" i="1"/>
  <c r="E224" i="1"/>
  <c r="H223" i="1"/>
  <c r="G223" i="1"/>
  <c r="E223" i="1"/>
  <c r="H222" i="1"/>
  <c r="G222" i="1"/>
  <c r="E222" i="1"/>
  <c r="H221" i="1"/>
  <c r="G221" i="1"/>
  <c r="E221" i="1"/>
  <c r="H220" i="1"/>
  <c r="G220" i="1"/>
  <c r="E220" i="1"/>
  <c r="H219" i="1"/>
  <c r="G219" i="1"/>
  <c r="E219" i="1"/>
  <c r="H218" i="1"/>
  <c r="G218" i="1"/>
  <c r="E218" i="1"/>
  <c r="H217" i="1"/>
  <c r="G217" i="1"/>
  <c r="E217" i="1"/>
  <c r="H216" i="1"/>
  <c r="G216" i="1"/>
  <c r="E216" i="1"/>
  <c r="H215" i="1"/>
  <c r="G215" i="1"/>
  <c r="E215" i="1"/>
  <c r="H214" i="1"/>
  <c r="G214" i="1"/>
  <c r="E214" i="1"/>
  <c r="H213" i="1"/>
  <c r="G213" i="1"/>
  <c r="E213" i="1"/>
  <c r="H212" i="1"/>
  <c r="G212" i="1"/>
  <c r="E212" i="1"/>
  <c r="H211" i="1"/>
  <c r="G211" i="1"/>
  <c r="E211" i="1"/>
  <c r="H210" i="1"/>
  <c r="G210" i="1"/>
  <c r="E210" i="1"/>
  <c r="H209" i="1"/>
  <c r="G209" i="1"/>
  <c r="E209" i="1"/>
  <c r="H208" i="1"/>
  <c r="G208" i="1"/>
  <c r="E208" i="1"/>
  <c r="H207" i="1"/>
  <c r="G207" i="1"/>
  <c r="E207" i="1"/>
  <c r="H206" i="1"/>
  <c r="G206" i="1"/>
  <c r="E206" i="1"/>
  <c r="H205" i="1"/>
  <c r="G205" i="1"/>
  <c r="E205" i="1"/>
  <c r="H204" i="1"/>
  <c r="G204" i="1"/>
  <c r="E204" i="1"/>
  <c r="H203" i="1"/>
  <c r="G203" i="1"/>
  <c r="E203" i="1"/>
  <c r="H202" i="1"/>
  <c r="G202" i="1"/>
  <c r="E202" i="1"/>
  <c r="H201" i="1"/>
  <c r="G201" i="1"/>
  <c r="E201" i="1"/>
  <c r="H200" i="1"/>
  <c r="G200" i="1"/>
  <c r="E200" i="1"/>
  <c r="H199" i="1"/>
  <c r="G199" i="1"/>
  <c r="E199" i="1"/>
  <c r="H198" i="1"/>
  <c r="G198" i="1"/>
  <c r="E198" i="1"/>
  <c r="H197" i="1"/>
  <c r="G197" i="1"/>
  <c r="E197" i="1"/>
  <c r="H196" i="1"/>
  <c r="G196" i="1"/>
  <c r="E196" i="1"/>
  <c r="H195" i="1"/>
  <c r="G195" i="1"/>
  <c r="E195" i="1"/>
  <c r="H194" i="1"/>
  <c r="G194" i="1"/>
  <c r="E194" i="1"/>
  <c r="H193" i="1"/>
  <c r="G193" i="1"/>
  <c r="E193" i="1"/>
  <c r="H192" i="1"/>
  <c r="G192" i="1"/>
  <c r="E192" i="1"/>
  <c r="H191" i="1"/>
  <c r="G191" i="1"/>
  <c r="E191" i="1"/>
  <c r="H190" i="1"/>
  <c r="G190" i="1"/>
  <c r="E190" i="1"/>
  <c r="H189" i="1"/>
  <c r="G189" i="1"/>
  <c r="E189" i="1"/>
  <c r="H188" i="1"/>
  <c r="G188" i="1"/>
  <c r="E188" i="1"/>
  <c r="H187" i="1"/>
  <c r="G187" i="1"/>
  <c r="E187" i="1"/>
  <c r="H186" i="1"/>
  <c r="G186" i="1"/>
  <c r="E186" i="1"/>
  <c r="H185" i="1"/>
  <c r="G185" i="1"/>
  <c r="E185" i="1"/>
  <c r="H184" i="1"/>
  <c r="G184" i="1"/>
  <c r="E184" i="1"/>
  <c r="H183" i="1"/>
  <c r="G183" i="1"/>
  <c r="E183" i="1"/>
  <c r="H182" i="1"/>
  <c r="G182" i="1"/>
  <c r="E182" i="1"/>
  <c r="H181" i="1"/>
  <c r="G181" i="1"/>
  <c r="E181" i="1"/>
  <c r="H180" i="1"/>
  <c r="G180" i="1"/>
  <c r="E180" i="1"/>
  <c r="H179" i="1"/>
  <c r="G179" i="1"/>
  <c r="E179" i="1"/>
  <c r="H178" i="1"/>
  <c r="G178" i="1"/>
  <c r="E178" i="1"/>
  <c r="H177" i="1"/>
  <c r="G177" i="1"/>
  <c r="E177" i="1"/>
  <c r="H176" i="1"/>
  <c r="G176" i="1"/>
  <c r="E176" i="1"/>
  <c r="H175" i="1"/>
  <c r="G175" i="1"/>
  <c r="E175" i="1"/>
  <c r="H174" i="1"/>
  <c r="G174" i="1"/>
  <c r="E174" i="1"/>
  <c r="H173" i="1"/>
  <c r="G173" i="1"/>
  <c r="E173" i="1"/>
  <c r="H172" i="1"/>
  <c r="G172" i="1"/>
  <c r="E172" i="1"/>
  <c r="H171" i="1"/>
  <c r="G171" i="1"/>
  <c r="E171" i="1"/>
  <c r="H170" i="1"/>
  <c r="G170" i="1"/>
  <c r="E170" i="1"/>
  <c r="H169" i="1"/>
  <c r="G169" i="1"/>
  <c r="E169" i="1"/>
  <c r="H168" i="1"/>
  <c r="G168" i="1"/>
  <c r="E168" i="1"/>
  <c r="H167" i="1"/>
  <c r="G167" i="1"/>
  <c r="E167" i="1"/>
  <c r="H166" i="1"/>
  <c r="G166" i="1"/>
  <c r="E166" i="1"/>
  <c r="H165" i="1"/>
  <c r="G165" i="1"/>
  <c r="E165" i="1"/>
  <c r="H164" i="1"/>
  <c r="G164" i="1"/>
  <c r="E164" i="1"/>
  <c r="H163" i="1"/>
  <c r="G163" i="1"/>
  <c r="E163" i="1"/>
  <c r="H162" i="1"/>
  <c r="G162" i="1"/>
  <c r="E162" i="1"/>
  <c r="H161" i="1"/>
  <c r="G161" i="1"/>
  <c r="E161" i="1"/>
  <c r="H160" i="1"/>
  <c r="G160" i="1"/>
  <c r="E160" i="1"/>
  <c r="H159" i="1"/>
  <c r="G159" i="1"/>
  <c r="E159" i="1"/>
  <c r="H158" i="1"/>
  <c r="G158" i="1"/>
  <c r="E158" i="1"/>
  <c r="H157" i="1"/>
  <c r="G157" i="1"/>
  <c r="E157" i="1"/>
  <c r="H156" i="1"/>
  <c r="G156" i="1"/>
  <c r="E156" i="1"/>
  <c r="H155" i="1"/>
  <c r="G155" i="1"/>
  <c r="E155" i="1"/>
  <c r="H154" i="1"/>
  <c r="G154" i="1"/>
  <c r="E154" i="1"/>
  <c r="H153" i="1"/>
  <c r="G153" i="1"/>
  <c r="E153" i="1"/>
  <c r="H152" i="1"/>
  <c r="G152" i="1"/>
  <c r="E152" i="1"/>
  <c r="H151" i="1"/>
  <c r="G151" i="1"/>
  <c r="E151" i="1"/>
  <c r="H150" i="1"/>
  <c r="G150" i="1"/>
  <c r="E150" i="1"/>
  <c r="H149" i="1"/>
  <c r="G149" i="1"/>
  <c r="E149" i="1"/>
  <c r="H148" i="1"/>
  <c r="G148" i="1"/>
  <c r="E148" i="1"/>
  <c r="H147" i="1"/>
  <c r="G147" i="1"/>
  <c r="E147" i="1"/>
  <c r="H146" i="1"/>
  <c r="G146" i="1"/>
  <c r="E146" i="1"/>
  <c r="H145" i="1"/>
  <c r="G145" i="1"/>
  <c r="E145" i="1"/>
  <c r="H144" i="1"/>
  <c r="G144" i="1"/>
  <c r="E144" i="1"/>
  <c r="H143" i="1"/>
  <c r="G143" i="1"/>
  <c r="E143" i="1"/>
  <c r="H142" i="1"/>
  <c r="G142" i="1"/>
  <c r="E142" i="1"/>
  <c r="H141" i="1"/>
  <c r="G141" i="1"/>
  <c r="E141" i="1"/>
  <c r="H140" i="1"/>
  <c r="G140" i="1"/>
  <c r="E140" i="1"/>
  <c r="H139" i="1"/>
  <c r="G139" i="1"/>
  <c r="E139" i="1"/>
  <c r="H138" i="1"/>
  <c r="G138" i="1"/>
  <c r="E138" i="1"/>
  <c r="H137" i="1"/>
  <c r="G137" i="1"/>
  <c r="E137" i="1"/>
  <c r="H136" i="1"/>
  <c r="G136" i="1"/>
  <c r="E136" i="1"/>
  <c r="H135" i="1"/>
  <c r="G135" i="1"/>
  <c r="E135" i="1"/>
  <c r="H134" i="1"/>
  <c r="G134" i="1"/>
  <c r="E134" i="1"/>
  <c r="H133" i="1"/>
  <c r="G133" i="1"/>
  <c r="E133" i="1"/>
  <c r="H132" i="1"/>
  <c r="G132" i="1"/>
  <c r="E132" i="1"/>
  <c r="H131" i="1"/>
  <c r="G131" i="1"/>
  <c r="E131" i="1"/>
  <c r="H130" i="1"/>
  <c r="G130" i="1"/>
  <c r="E130" i="1"/>
  <c r="H129" i="1"/>
  <c r="G129" i="1"/>
  <c r="E129" i="1"/>
  <c r="H128" i="1"/>
  <c r="G128" i="1"/>
  <c r="E128" i="1"/>
  <c r="H127" i="1"/>
  <c r="G127" i="1"/>
  <c r="E127" i="1"/>
  <c r="H126" i="1"/>
  <c r="G126" i="1"/>
  <c r="E126" i="1"/>
  <c r="H125" i="1"/>
  <c r="G125" i="1"/>
  <c r="E125" i="1"/>
  <c r="H124" i="1"/>
  <c r="G124" i="1"/>
  <c r="E124" i="1"/>
  <c r="H123" i="1"/>
  <c r="G123" i="1"/>
  <c r="E123" i="1"/>
  <c r="H122" i="1"/>
  <c r="G122" i="1"/>
  <c r="E122" i="1"/>
  <c r="H121" i="1"/>
  <c r="G121" i="1"/>
  <c r="E121" i="1"/>
  <c r="H120" i="1"/>
  <c r="G120" i="1"/>
  <c r="E120" i="1"/>
  <c r="H119" i="1"/>
  <c r="G119" i="1"/>
  <c r="E119" i="1"/>
  <c r="H118" i="1"/>
  <c r="G118" i="1"/>
  <c r="E118" i="1"/>
  <c r="H117" i="1"/>
  <c r="G117" i="1"/>
  <c r="E117" i="1"/>
  <c r="H116" i="1"/>
  <c r="G116" i="1"/>
  <c r="E116" i="1"/>
  <c r="H115" i="1"/>
  <c r="G115" i="1"/>
  <c r="E115" i="1"/>
  <c r="H114" i="1"/>
  <c r="G114" i="1"/>
  <c r="E114" i="1"/>
  <c r="H113" i="1"/>
  <c r="G113" i="1"/>
  <c r="E113" i="1"/>
  <c r="H112" i="1"/>
  <c r="G112" i="1"/>
  <c r="E112" i="1"/>
  <c r="H111" i="1"/>
  <c r="G111" i="1"/>
  <c r="E111" i="1"/>
  <c r="H110" i="1"/>
  <c r="G110" i="1"/>
  <c r="E110" i="1"/>
  <c r="H109" i="1"/>
  <c r="G109" i="1"/>
  <c r="E109" i="1"/>
  <c r="H108" i="1"/>
  <c r="G108" i="1"/>
  <c r="E108" i="1"/>
  <c r="H107" i="1"/>
  <c r="G107" i="1"/>
  <c r="E107" i="1"/>
  <c r="H106" i="1"/>
  <c r="G106" i="1"/>
  <c r="E106" i="1"/>
  <c r="H105" i="1"/>
  <c r="G105" i="1"/>
  <c r="E105" i="1"/>
  <c r="H104" i="1"/>
  <c r="G104" i="1"/>
  <c r="E104" i="1"/>
  <c r="H103" i="1"/>
  <c r="G103" i="1"/>
  <c r="E103" i="1"/>
  <c r="H102" i="1"/>
  <c r="G102" i="1"/>
  <c r="E102" i="1"/>
  <c r="H101" i="1"/>
  <c r="G101" i="1"/>
  <c r="E101" i="1"/>
  <c r="H100" i="1"/>
  <c r="G100" i="1"/>
  <c r="E100" i="1"/>
  <c r="H99" i="1"/>
  <c r="G99" i="1"/>
  <c r="E99" i="1"/>
  <c r="H98" i="1"/>
  <c r="G98" i="1"/>
  <c r="E98" i="1"/>
  <c r="H97" i="1"/>
  <c r="G97" i="1"/>
  <c r="E97" i="1"/>
  <c r="H96" i="1"/>
  <c r="G96" i="1"/>
  <c r="E96" i="1"/>
  <c r="H95" i="1"/>
  <c r="G95" i="1"/>
  <c r="E95" i="1"/>
  <c r="H94" i="1"/>
  <c r="G94" i="1"/>
  <c r="E94" i="1"/>
  <c r="H93" i="1"/>
  <c r="G93" i="1"/>
  <c r="E93" i="1"/>
  <c r="H92" i="1"/>
  <c r="G92" i="1"/>
  <c r="E92" i="1"/>
  <c r="H91" i="1"/>
  <c r="G91" i="1"/>
  <c r="E91" i="1"/>
  <c r="H90" i="1"/>
  <c r="G90" i="1"/>
  <c r="E90" i="1"/>
  <c r="H89" i="1"/>
  <c r="G89" i="1"/>
  <c r="E89" i="1"/>
  <c r="H88" i="1"/>
  <c r="G88" i="1"/>
  <c r="E88" i="1"/>
  <c r="H87" i="1"/>
  <c r="G87" i="1"/>
  <c r="E87" i="1"/>
  <c r="H86" i="1"/>
  <c r="G86" i="1"/>
  <c r="E86" i="1"/>
  <c r="H85" i="1"/>
  <c r="G85" i="1"/>
  <c r="E85" i="1"/>
  <c r="H84" i="1"/>
  <c r="G84" i="1"/>
  <c r="E84" i="1"/>
  <c r="H83" i="1"/>
  <c r="G83" i="1"/>
  <c r="E83" i="1"/>
  <c r="H82" i="1"/>
  <c r="G82" i="1"/>
  <c r="E82" i="1"/>
  <c r="H81" i="1"/>
  <c r="G81" i="1"/>
  <c r="E81" i="1"/>
  <c r="H80" i="1"/>
  <c r="G80" i="1"/>
  <c r="E80" i="1"/>
  <c r="H79" i="1"/>
  <c r="G79" i="1"/>
  <c r="E79" i="1"/>
  <c r="H78" i="1"/>
  <c r="G78" i="1"/>
  <c r="E78" i="1"/>
  <c r="H77" i="1"/>
  <c r="G77" i="1"/>
  <c r="E77" i="1"/>
  <c r="H76" i="1"/>
  <c r="G76" i="1"/>
  <c r="E76" i="1"/>
  <c r="H75" i="1"/>
  <c r="G75" i="1"/>
  <c r="E75" i="1"/>
  <c r="H74" i="1"/>
  <c r="G74" i="1"/>
  <c r="E74" i="1"/>
  <c r="H73" i="1"/>
  <c r="G73" i="1"/>
  <c r="E73" i="1"/>
  <c r="H72" i="1"/>
  <c r="G72" i="1"/>
  <c r="E72" i="1"/>
  <c r="H71" i="1"/>
  <c r="G71" i="1"/>
  <c r="E71" i="1"/>
  <c r="H70" i="1"/>
  <c r="G70" i="1"/>
  <c r="E70" i="1"/>
  <c r="H69" i="1"/>
  <c r="G69" i="1"/>
  <c r="E69" i="1"/>
  <c r="H68" i="1"/>
  <c r="G68" i="1"/>
  <c r="E68" i="1"/>
  <c r="H67" i="1"/>
  <c r="G67" i="1"/>
  <c r="E67" i="1"/>
  <c r="H66" i="1"/>
  <c r="G66" i="1"/>
  <c r="E66" i="1"/>
  <c r="H65" i="1"/>
  <c r="G65" i="1"/>
  <c r="E65" i="1"/>
  <c r="H64" i="1"/>
  <c r="G64" i="1"/>
  <c r="E64" i="1"/>
  <c r="H63" i="1"/>
  <c r="G63" i="1"/>
  <c r="E63" i="1"/>
  <c r="H62" i="1"/>
  <c r="G62" i="1"/>
  <c r="E62" i="1"/>
  <c r="H61" i="1"/>
  <c r="G61" i="1"/>
  <c r="E61" i="1"/>
  <c r="H60" i="1"/>
  <c r="G60" i="1"/>
  <c r="E60" i="1"/>
  <c r="H59" i="1"/>
  <c r="G59" i="1"/>
  <c r="E59" i="1"/>
  <c r="H58" i="1"/>
  <c r="G58" i="1"/>
  <c r="E58" i="1"/>
  <c r="H57" i="1"/>
  <c r="G57" i="1"/>
  <c r="E57" i="1"/>
  <c r="H56" i="1"/>
  <c r="G56" i="1"/>
  <c r="E56" i="1"/>
  <c r="H55" i="1"/>
  <c r="G55" i="1"/>
  <c r="E55" i="1"/>
  <c r="H54" i="1"/>
  <c r="G54" i="1"/>
  <c r="E54" i="1"/>
  <c r="H53" i="1"/>
  <c r="G53" i="1"/>
  <c r="E53" i="1"/>
  <c r="H52" i="1"/>
  <c r="G52" i="1"/>
  <c r="E52" i="1"/>
  <c r="H51" i="1"/>
  <c r="G51" i="1"/>
  <c r="E51" i="1"/>
  <c r="H50" i="1"/>
  <c r="G50" i="1"/>
  <c r="E50" i="1"/>
  <c r="H49" i="1"/>
  <c r="G49" i="1"/>
  <c r="E49" i="1"/>
  <c r="H48" i="1"/>
  <c r="G48" i="1"/>
  <c r="E48" i="1"/>
  <c r="H47" i="1"/>
  <c r="G47" i="1"/>
  <c r="E47" i="1"/>
  <c r="H46" i="1"/>
  <c r="G46" i="1"/>
  <c r="E46" i="1"/>
  <c r="H45" i="1"/>
  <c r="G45" i="1"/>
  <c r="E45" i="1"/>
  <c r="H44" i="1"/>
  <c r="G44" i="1"/>
  <c r="E44" i="1"/>
  <c r="H43" i="1"/>
  <c r="G43" i="1"/>
  <c r="E43" i="1"/>
  <c r="H42" i="1"/>
  <c r="G42" i="1"/>
  <c r="E42" i="1"/>
  <c r="H41" i="1"/>
  <c r="G41" i="1"/>
  <c r="E41" i="1"/>
  <c r="H40" i="1"/>
  <c r="G40" i="1"/>
  <c r="E40" i="1"/>
  <c r="H39" i="1"/>
  <c r="G39" i="1"/>
  <c r="E39" i="1"/>
  <c r="H38" i="1"/>
  <c r="G38" i="1"/>
  <c r="E38" i="1"/>
  <c r="H37" i="1"/>
  <c r="G37" i="1"/>
  <c r="E37" i="1"/>
  <c r="H36" i="1"/>
  <c r="G36" i="1"/>
  <c r="E36" i="1"/>
  <c r="H35" i="1"/>
  <c r="G35" i="1"/>
  <c r="E35" i="1"/>
  <c r="H34" i="1"/>
  <c r="G34" i="1"/>
  <c r="E34" i="1"/>
  <c r="H33" i="1"/>
  <c r="G33" i="1"/>
  <c r="E33" i="1"/>
  <c r="H32" i="1"/>
  <c r="G32" i="1"/>
  <c r="E32" i="1"/>
  <c r="H31" i="1"/>
  <c r="G31" i="1"/>
  <c r="E31" i="1"/>
  <c r="H30" i="1"/>
  <c r="G30" i="1"/>
  <c r="E30" i="1"/>
  <c r="H29" i="1"/>
  <c r="G29" i="1"/>
  <c r="E29" i="1"/>
  <c r="H28" i="1"/>
  <c r="G28" i="1"/>
  <c r="E28" i="1"/>
  <c r="H27" i="1"/>
  <c r="G27" i="1"/>
  <c r="E27" i="1"/>
  <c r="H26" i="1"/>
  <c r="G26" i="1"/>
  <c r="E26" i="1"/>
  <c r="H25" i="1"/>
  <c r="G25" i="1"/>
  <c r="E25" i="1"/>
  <c r="H24" i="1"/>
  <c r="G24" i="1"/>
  <c r="E24" i="1"/>
  <c r="H23" i="1"/>
  <c r="G23" i="1"/>
  <c r="E23" i="1"/>
  <c r="H22" i="1"/>
  <c r="G22" i="1"/>
  <c r="E22" i="1"/>
  <c r="H21" i="1"/>
  <c r="G21" i="1"/>
  <c r="E21" i="1"/>
  <c r="H20" i="1"/>
  <c r="G20" i="1"/>
  <c r="E20" i="1"/>
  <c r="H19" i="1"/>
  <c r="G19" i="1"/>
  <c r="E19" i="1"/>
  <c r="H18" i="1"/>
  <c r="G18" i="1"/>
  <c r="E18" i="1"/>
  <c r="H17" i="1"/>
  <c r="G17" i="1"/>
  <c r="E17" i="1"/>
  <c r="H16" i="1"/>
  <c r="G16" i="1"/>
  <c r="E16" i="1"/>
  <c r="H15" i="1"/>
  <c r="G15" i="1"/>
  <c r="E15" i="1"/>
  <c r="H14" i="1"/>
  <c r="G14" i="1"/>
  <c r="E14" i="1"/>
  <c r="H13" i="1"/>
  <c r="G13" i="1"/>
  <c r="E13" i="1"/>
  <c r="H12" i="1"/>
  <c r="G12" i="1"/>
  <c r="E12" i="1"/>
  <c r="H11" i="1"/>
  <c r="G11" i="1"/>
  <c r="E11" i="1"/>
  <c r="H10" i="1"/>
  <c r="G10" i="1"/>
  <c r="E10" i="1"/>
  <c r="H9" i="1"/>
  <c r="G9" i="1"/>
  <c r="E9" i="1"/>
  <c r="H8" i="1"/>
  <c r="G8" i="1"/>
  <c r="E8" i="1"/>
  <c r="H7" i="1"/>
  <c r="G7" i="1"/>
  <c r="E7" i="1"/>
  <c r="H6" i="1"/>
  <c r="G6" i="1"/>
  <c r="E6" i="1"/>
  <c r="H5" i="1"/>
  <c r="G5" i="1"/>
  <c r="E5" i="1"/>
  <c r="H4" i="1"/>
  <c r="G4" i="1"/>
  <c r="E4" i="1"/>
  <c r="H3" i="1"/>
  <c r="G3" i="1"/>
  <c r="E3" i="1"/>
  <c r="H2" i="1"/>
  <c r="G2" i="1"/>
  <c r="E2" i="1"/>
  <c r="H8" i="7"/>
  <c r="H7" i="7"/>
  <c r="H6" i="7"/>
  <c r="H5" i="7"/>
  <c r="H4" i="7"/>
  <c r="H3" i="7"/>
  <c r="H2" i="7"/>
  <c r="D11" i="9" a="1"/>
  <c r="B11" i="9" a="1"/>
  <c r="F11" i="9" a="1"/>
  <c r="F11" i="9" l="1"/>
  <c r="D11" i="9"/>
  <c r="B11"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<sst xmlns="http://schemas.openxmlformats.org/spreadsheetml/2006/main" count="1734" uniqueCount="96">
  <si>
    <t>Date</t>
  </si>
  <si>
    <t>Description</t>
  </si>
  <si>
    <t>Account</t>
  </si>
  <si>
    <t>Category</t>
  </si>
  <si>
    <t>Debit</t>
  </si>
  <si>
    <t>Credit</t>
  </si>
  <si>
    <t>Category Type</t>
  </si>
  <si>
    <t>Salary</t>
  </si>
  <si>
    <t>Income</t>
  </si>
  <si>
    <t>Checking</t>
  </si>
  <si>
    <t>Rent</t>
  </si>
  <si>
    <t>Expense</t>
  </si>
  <si>
    <t>Gas/Electrics</t>
  </si>
  <si>
    <t>MV Fuel</t>
  </si>
  <si>
    <t>Groceries</t>
  </si>
  <si>
    <t>Entertainment</t>
  </si>
  <si>
    <t>Clothes</t>
  </si>
  <si>
    <t>Gym</t>
  </si>
  <si>
    <t>Dining Out</t>
  </si>
  <si>
    <t>Dentist</t>
  </si>
  <si>
    <t>Medical</t>
  </si>
  <si>
    <t>Transport</t>
  </si>
  <si>
    <t>Gifts</t>
  </si>
  <si>
    <t>Donation</t>
  </si>
  <si>
    <t>Charity</t>
  </si>
  <si>
    <t>Living Expenses</t>
  </si>
  <si>
    <t>Discretionary</t>
  </si>
  <si>
    <t>Taxi</t>
  </si>
  <si>
    <t>Amount</t>
  </si>
  <si>
    <t>MV Loan</t>
  </si>
  <si>
    <t>Phone</t>
  </si>
  <si>
    <t>Doctor</t>
  </si>
  <si>
    <t>Furnishings</t>
  </si>
  <si>
    <t>Sub-category</t>
  </si>
  <si>
    <t>Grand Total</t>
  </si>
  <si>
    <t>Sum of Debit</t>
  </si>
  <si>
    <t>May</t>
  </si>
  <si>
    <t>Sum of Amount</t>
  </si>
  <si>
    <t>Drinks</t>
  </si>
  <si>
    <t>Debt</t>
  </si>
  <si>
    <t>Profit</t>
  </si>
  <si>
    <t>Sum of Profit</t>
  </si>
  <si>
    <t>Transfer</t>
  </si>
  <si>
    <t>Lunch</t>
  </si>
  <si>
    <t>Breakfast</t>
  </si>
  <si>
    <t>Dinner</t>
  </si>
  <si>
    <t>Lend</t>
  </si>
  <si>
    <t>Input your Income/Expenses!</t>
  </si>
  <si>
    <t>Made by: Vincent Elbert</t>
  </si>
  <si>
    <t>Jan</t>
  </si>
  <si>
    <t>Feb</t>
  </si>
  <si>
    <t>Mar</t>
  </si>
  <si>
    <t>Apr</t>
  </si>
  <si>
    <t>Jun</t>
  </si>
  <si>
    <t>Jul</t>
  </si>
  <si>
    <t>Aug</t>
  </si>
  <si>
    <t>Sep</t>
  </si>
  <si>
    <t>Oct</t>
  </si>
  <si>
    <t>Last Input</t>
  </si>
  <si>
    <t>Laundry</t>
  </si>
  <si>
    <t>Deposit</t>
  </si>
  <si>
    <t>ACME Pty Ltd</t>
  </si>
  <si>
    <t>Ground</t>
  </si>
  <si>
    <t>Coffee</t>
  </si>
  <si>
    <t>Estate Mgt.</t>
  </si>
  <si>
    <t>Finance Co.</t>
  </si>
  <si>
    <t>Green's</t>
  </si>
  <si>
    <t>Elec. Co.</t>
  </si>
  <si>
    <t>Fuel. Co</t>
  </si>
  <si>
    <t>Event Cinemas</t>
  </si>
  <si>
    <t>Fashionistas</t>
  </si>
  <si>
    <t>Joe's Grill</t>
  </si>
  <si>
    <t>Restaurant</t>
  </si>
  <si>
    <t>Taxi Co.</t>
  </si>
  <si>
    <t>Muscle Beach</t>
  </si>
  <si>
    <t>Smile Dental</t>
  </si>
  <si>
    <t>Phone Co.</t>
  </si>
  <si>
    <t>Sam's Gifts</t>
  </si>
  <si>
    <t>Streaming Co.</t>
  </si>
  <si>
    <t>Pizza Pomodoro</t>
  </si>
  <si>
    <t>Golden Arches</t>
  </si>
  <si>
    <t>Worldvision</t>
  </si>
  <si>
    <t>Ted's Trainers</t>
  </si>
  <si>
    <t>Ticketek</t>
  </si>
  <si>
    <t>Global Fashion</t>
  </si>
  <si>
    <t>Village Medical</t>
  </si>
  <si>
    <t>Sports Co.</t>
  </si>
  <si>
    <t>Foodary</t>
  </si>
  <si>
    <t>BW Club</t>
  </si>
  <si>
    <t>Home Decorator</t>
  </si>
  <si>
    <t>Fodary</t>
  </si>
  <si>
    <t>Row Labels</t>
  </si>
  <si>
    <t>Column Labels</t>
  </si>
  <si>
    <t>Total</t>
  </si>
  <si>
    <t>Personal Finance Dashboard</t>
  </si>
  <si>
    <t>Spend YTD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</si>
</sst>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800]dddd\,\ mmmm\ dd\,\ yyyy"/>
    <numFmt numFmtId="165" formatCode="&quot;$&quot;#,##0"/>
    <numFmt numFmtId="166" formatCode="_ [$¥-804]* #,##0.00_ ;_ [$¥-804]* \-#,##0.00_ ;_ [$¥-804]* &quot;-&quot;??_ ;_ @_ "/>
  </numFmts>
  <fonts count="15" x14ac:knownFonts="1">
    <font>
      <sz val="11"/>
      <color theme="1"/>
      <name val="Calibri"/>
      <family val="2"/>
      <scheme val="minor"/>
    </font>
    <font>
      <sz val="22"/>
      <color theme="9" tint="-0.499984740745262"/>
      <name val="Calibri"/>
      <family val="2"/>
      <scheme val="minor"/>
    </font>
    <font>
      <b/>
      <sz val="11"/>
      <color theme="1"/>
      <name val="Calibri"/>
      <family val="2"/>
      <scheme val="minor"/>
    </font>
    <font>
      <sz val="11"/>
      <color theme="1" tint="0.249977111117893"/>
      <name val="Calibri"/>
      <family val="2"/>
      <scheme val="minor"/>
    </font>
    <font>
      <sz val="11"/>
      <color theme="8" tint="-0.499984740745262"/>
      <name val="Calibri"/>
      <family val="2"/>
      <scheme val="minor"/>
    </font>
    <font>
      <sz val="11"/>
      <name val="Calibri"/>
      <family val="2"/>
      <scheme val="minor"/>
    </font>
    <font>
      <sz val="14"/>
      <color rgb="FF000000"/>
      <name val="Arial Black"/>
      <family val="2"/>
    </font>
    <font>
      <b/>
      <sz val="16"/>
      <color theme="0"/>
      <name val="Calibri"/>
      <family val="2"/>
      <scheme val="minor"/>
    </font>
    <font>
      <sz val="11"/>
      <color theme="9" tint="-0.499984740745262"/>
      <name val="Calibri"/>
      <family val="2"/>
      <scheme val="minor"/>
    </font>
    <font>
      <sz val="12"/>
      <color theme="0"/>
      <name val="Calibri"/>
      <family val="2"/>
      <scheme val="minor"/>
    </font>
    <font>
      <b/>
      <sz val="14"/>
      <color theme="0"/>
      <name val="Calibri"/>
      <family val="2"/>
      <scheme val="minor"/>
    </font>
    <font>
      <b/>
      <sz val="26"/>
      <color theme="0"/>
      <name val="Calibri"/>
      <family val="2"/>
      <scheme val="minor"/>
    </font>
    <font>
      <b/>
      <sz val="14"/>
      <color theme="1"/>
      <name val="Calibri"/>
      <family val="2"/>
      <scheme val="minor"/>
    </font>
    <font>
      <sz val="11"/>
      <color theme="0"/>
      <name val="Calibri"/>
      <family val="2"/>
      <scheme val="minor"/>
    </font>
    <font>
      <b/>
      <sz val="12"/>
      <color theme="0"/>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9" tint="-0.249977111117893"/>
        <bgColor indexed="64"/>
      </patternFill>
    </fill>
    <fill>
      <patternFill patternType="solid">
        <fgColor theme="4"/>
        <bgColor theme="4"/>
      </patternFill>
    </fill>
    <fill>
      <patternFill patternType="solid">
        <fgColor theme="0"/>
        <bgColor indexed="64"/>
      </patternFill>
    </fill>
    <fill>
      <patternFill patternType="solid">
        <fgColor theme="9" tint="0.39997558519241921"/>
        <bgColor indexed="64"/>
      </patternFill>
    </fill>
    <fill>
      <patternFill patternType="solid">
        <fgColor theme="9"/>
        <bgColor indexed="64"/>
      </patternFill>
    </fill>
    <fill>
      <patternFill patternType="solid">
        <fgColor theme="9" tint="-0.499984740745262"/>
        <bgColor indexed="64"/>
      </patternFill>
    </fill>
    <fill>
      <patternFill patternType="solid">
        <fgColor theme="9" tint="0.59999389629810485"/>
        <bgColor indexed="64"/>
      </patternFill>
    </fill>
  </fills>
  <borders count="4">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s>
  <cellStyleXfs count="1">
    <xf numFmtId="0" fontId="0" fillId="0" borderId="0"/>
  </cellStyleXfs>
  <cellXfs count="56">
    <xf numFmtId="0" fontId="0" fillId="0" borderId="0" xfId="0"/>
    <xf numFmtId="0" fontId="5" fillId="5" borderId="0" xfId="0" applyFont="1" applyFill="1"/>
    <xf numFmtId="164" fontId="5" fillId="5" borderId="0" xfId="0" applyNumberFormat="1" applyFont="1" applyFill="1"/>
    <xf numFmtId="14" fontId="5" fillId="5" borderId="0" xfId="0" applyNumberFormat="1" applyFont="1" applyFill="1"/>
    <xf numFmtId="0" fontId="5" fillId="5" borderId="0" xfId="0" applyNumberFormat="1" applyFont="1" applyFill="1"/>
    <xf numFmtId="0" fontId="0" fillId="6" borderId="0" xfId="0" applyFill="1"/>
    <xf numFmtId="0" fontId="0" fillId="0" borderId="2" xfId="0" applyBorder="1" applyAlignment="1">
      <alignment vertical="center"/>
    </xf>
    <xf numFmtId="164" fontId="0" fillId="0" borderId="2" xfId="0" applyNumberFormat="1" applyBorder="1" applyAlignment="1">
      <alignment vertical="center"/>
    </xf>
    <xf numFmtId="166" fontId="0" fillId="0" borderId="2" xfId="0" applyNumberFormat="1" applyBorder="1" applyAlignment="1">
      <alignment vertical="center"/>
    </xf>
    <xf numFmtId="0" fontId="7" fillId="4" borderId="3" xfId="0" applyFont="1" applyFill="1" applyBorder="1" applyAlignment="1">
      <alignment horizontal="center" vertical="center"/>
    </xf>
    <xf numFmtId="164" fontId="7" fillId="4" borderId="3" xfId="0" applyNumberFormat="1" applyFont="1" applyFill="1" applyBorder="1" applyAlignment="1">
      <alignment horizontal="center" vertical="center"/>
    </xf>
    <xf numFmtId="0" fontId="7" fillId="3" borderId="3" xfId="0" applyFont="1" applyFill="1" applyBorder="1" applyAlignment="1">
      <alignment horizontal="center" vertical="center"/>
    </xf>
    <xf numFmtId="0" fontId="0" fillId="6" borderId="0" xfId="0" applyFill="1" applyBorder="1"/>
    <xf numFmtId="0" fontId="4" fillId="6" borderId="0" xfId="0" applyFont="1" applyFill="1" applyBorder="1" applyAlignment="1">
      <alignment horizontal="left" vertical="center" indent="1"/>
    </xf>
    <xf numFmtId="0" fontId="3" fillId="6" borderId="0" xfId="0" applyFont="1" applyFill="1" applyAlignment="1">
      <alignment horizontal="left" vertical="center" indent="1"/>
    </xf>
    <xf numFmtId="165" fontId="3" fillId="6" borderId="0" xfId="0" applyNumberFormat="1" applyFont="1" applyFill="1" applyAlignment="1">
      <alignment vertical="center"/>
    </xf>
    <xf numFmtId="3" fontId="0" fillId="6" borderId="0" xfId="0" applyNumberFormat="1" applyFill="1"/>
    <xf numFmtId="165" fontId="0" fillId="6" borderId="0" xfId="0" applyNumberFormat="1" applyFill="1"/>
    <xf numFmtId="0" fontId="8" fillId="6" borderId="0" xfId="0" applyFont="1" applyFill="1"/>
    <xf numFmtId="0" fontId="9" fillId="8" borderId="0" xfId="0" applyFont="1" applyFill="1"/>
    <xf numFmtId="0" fontId="9" fillId="3" borderId="0" xfId="0" applyFont="1" applyFill="1"/>
    <xf numFmtId="164" fontId="9" fillId="3" borderId="0" xfId="0" applyNumberFormat="1" applyFont="1" applyFill="1"/>
    <xf numFmtId="0" fontId="10" fillId="8" borderId="0" xfId="0" applyFont="1" applyFill="1"/>
    <xf numFmtId="0" fontId="0" fillId="9" borderId="0" xfId="0" applyFill="1"/>
    <xf numFmtId="166" fontId="0" fillId="9" borderId="0" xfId="0" applyNumberFormat="1" applyFill="1"/>
    <xf numFmtId="14" fontId="0" fillId="9" borderId="0" xfId="0" applyNumberFormat="1" applyFill="1"/>
    <xf numFmtId="0" fontId="2" fillId="3" borderId="1" xfId="0" applyFont="1" applyFill="1" applyBorder="1"/>
    <xf numFmtId="0" fontId="0" fillId="3" borderId="1" xfId="0" applyFill="1" applyBorder="1"/>
    <xf numFmtId="166" fontId="9" fillId="3" borderId="0" xfId="0" applyNumberFormat="1" applyFont="1" applyFill="1"/>
    <xf numFmtId="0" fontId="0" fillId="0" borderId="0" xfId="0" pivotButton="1"/>
    <xf numFmtId="14" fontId="0" fillId="0" borderId="0" xfId="0" applyNumberFormat="1"/>
    <xf numFmtId="164" fontId="0" fillId="0" borderId="0" xfId="0" applyNumberFormat="1"/>
    <xf numFmtId="0" fontId="0" fillId="3" borderId="0" xfId="0" applyFill="1"/>
    <xf numFmtId="0" fontId="0" fillId="2" borderId="0" xfId="0" applyFill="1"/>
    <xf numFmtId="0" fontId="0" fillId="2" borderId="0" xfId="0" applyNumberFormat="1" applyFill="1"/>
    <xf numFmtId="0" fontId="0" fillId="0" borderId="0" xfId="0" applyAlignment="1">
      <alignment horizontal="left"/>
    </xf>
    <xf numFmtId="0" fontId="0" fillId="0" borderId="0" xfId="0" pivotButton="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3" borderId="0" xfId="0" applyFill="1" applyBorder="1"/>
    <xf numFmtId="0" fontId="1" fillId="3" borderId="0" xfId="0" applyFont="1" applyFill="1" applyBorder="1" applyAlignment="1">
      <alignment horizontal="centerContinuous"/>
    </xf>
    <xf numFmtId="0" fontId="0" fillId="3" borderId="0" xfId="0" applyFill="1" applyBorder="1" applyAlignment="1">
      <alignment horizontal="centerContinuous"/>
    </xf>
    <xf numFmtId="0" fontId="7" fillId="3" borderId="0" xfId="0" applyFont="1" applyFill="1" applyBorder="1" applyAlignment="1">
      <alignment horizontal="right" vertical="center" wrapText="1"/>
    </xf>
    <xf numFmtId="0" fontId="12" fillId="3" borderId="0" xfId="0" applyFont="1" applyFill="1" applyBorder="1" applyAlignment="1"/>
    <xf numFmtId="0" fontId="7" fillId="7" borderId="0" xfId="0" applyFont="1" applyFill="1" applyAlignment="1">
      <alignment horizontal="left" vertical="center"/>
    </xf>
    <xf numFmtId="164" fontId="0" fillId="6" borderId="0" xfId="0" applyNumberFormat="1" applyFill="1"/>
    <xf numFmtId="14" fontId="0" fillId="0" borderId="0" xfId="0" applyNumberFormat="1" applyAlignment="1">
      <alignment horizontal="left"/>
    </xf>
    <xf numFmtId="0" fontId="13" fillId="6" borderId="0" xfId="0" applyFont="1" applyFill="1"/>
    <xf numFmtId="166" fontId="0" fillId="0" borderId="0" xfId="0" applyNumberFormat="1"/>
    <xf numFmtId="166" fontId="5" fillId="5" borderId="0" xfId="0" applyNumberFormat="1" applyFont="1" applyFill="1"/>
    <xf numFmtId="166" fontId="0" fillId="3" borderId="0" xfId="0" applyNumberFormat="1" applyFill="1"/>
    <xf numFmtId="166" fontId="0" fillId="2" borderId="0" xfId="0" applyNumberFormat="1" applyFill="1"/>
    <xf numFmtId="166" fontId="14" fillId="3" borderId="0" xfId="0" applyNumberFormat="1" applyFont="1" applyFill="1" applyBorder="1" applyAlignment="1">
      <alignment horizontal="left" vertical="center"/>
    </xf>
    <xf numFmtId="166" fontId="14" fillId="3" borderId="0" xfId="0" applyNumberFormat="1" applyFont="1" applyFill="1" applyBorder="1" applyAlignment="1">
      <alignment vertical="center"/>
    </xf>
    <xf numFmtId="166" fontId="14" fillId="3" borderId="0" xfId="0" applyNumberFormat="1" applyFont="1" applyFill="1" applyAlignment="1">
      <alignment vertical="center"/>
    </xf>
    <xf numFmtId="0" fontId="11" fillId="3" borderId="0" xfId="0" applyFont="1" applyFill="1" applyBorder="1" applyAlignment="1">
      <alignment vertical="center"/>
    </xf>
  </cellXfs>
  <cellStyles count="1">
    <cellStyle name="Normal" xfId="0" builtinId="0"/>
  </cellStyles>
  <dxfs count="78">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numFmt numFmtId="166" formatCode="_ [$¥-804]* #,##0.00_ ;_ [$¥-804]* \-#,##0.00_ ;_ [$¥-804]* &quot;-&quot;??_ ;_ @_ "/>
    </dxf>
    <dxf>
      <fill>
        <patternFill>
          <bgColor theme="9" tint="0.39994506668294322"/>
        </patternFill>
      </fill>
    </dxf>
    <dxf>
      <fill>
        <patternFill>
          <bgColor theme="9" tint="0.39994506668294322"/>
        </patternFill>
      </fill>
    </dxf>
    <dxf>
      <numFmt numFmtId="166" formatCode="_ [$¥-804]* #,##0.00_ ;_ [$¥-804]* \-#,##0.00_ ;_ [$¥-804]* &quot;-&quot;??_ ;_ @_ "/>
      <fill>
        <patternFill patternType="solid">
          <fgColor indexed="64"/>
          <bgColor theme="9" tint="0.79998168889431442"/>
        </patternFill>
      </fill>
    </dxf>
    <dxf>
      <fill>
        <patternFill patternType="solid">
          <fgColor indexed="64"/>
          <bgColor theme="9" tint="0.79998168889431442"/>
        </patternFill>
      </fill>
    </dxf>
    <dxf>
      <numFmt numFmtId="166" formatCode="_ [$¥-804]* #,##0.00_ ;_ [$¥-804]* \-#,##0.00_ ;_ [$¥-804]* &quot;-&quot;??_ ;_ @_ "/>
    </dxf>
    <dxf>
      <numFmt numFmtId="166" formatCode="_ [$¥-804]* #,##0.00_ ;_ [$¥-804]* \-#,##0.00_ ;_ [$¥-804]* &quot;-&quot;??_ ;_ @_ "/>
    </dxf>
    <dxf>
      <numFmt numFmtId="167" formatCode="d/mm/yyyy"/>
    </dxf>
    <dxf>
      <numFmt numFmtId="164" formatCode="[$-F800]dddd\,\ mmmm\ dd\,\ yyyy"/>
      <fill>
        <patternFill patternType="solid">
          <fgColor indexed="64"/>
          <bgColor theme="9" tint="0.39997558519241921"/>
        </patternFill>
      </fill>
    </dxf>
    <dxf>
      <numFmt numFmtId="164" formatCode="[$-F800]dddd\,\ mmmm\ dd\,\ yyyy"/>
      <fill>
        <patternFill patternType="solid">
          <fgColor indexed="64"/>
          <bgColor theme="9" tint="0.39997558519241921"/>
        </patternFill>
      </fill>
    </dxf>
    <dxf>
      <border>
        <bottom style="thin">
          <color indexed="64"/>
        </bottom>
      </border>
    </dxf>
    <dxf>
      <fill>
        <patternFill patternType="solid">
          <fgColor indexed="64"/>
          <bgColor theme="9" tint="-0.249977111117893"/>
        </patternFill>
      </fill>
    </dxf>
    <dxf>
      <fill>
        <patternFill patternType="solid">
          <fgColor indexed="64"/>
          <bgColor theme="9" tint="0.59999389629810485"/>
        </patternFill>
      </fill>
    </dxf>
    <dxf>
      <fill>
        <patternFill patternType="solid">
          <fgColor indexed="64"/>
          <bgColor theme="9" tint="0.59999389629810485"/>
        </patternFill>
      </fill>
    </dxf>
    <dxf>
      <border>
        <bottom style="thin">
          <color indexed="64"/>
        </bottom>
      </border>
    </dxf>
    <dxf>
      <fill>
        <patternFill patternType="solid">
          <fgColor indexed="64"/>
          <bgColor theme="9" tint="-0.249977111117893"/>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59999389629810485"/>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9" tint="-0.249977111117893"/>
        </patternFill>
      </fill>
    </dxf>
    <dxf>
      <numFmt numFmtId="0" formatCode="General"/>
      <fill>
        <patternFill patternType="solid">
          <fgColor indexed="64"/>
          <bgColor theme="9" tint="0.79998168889431442"/>
        </patternFill>
      </fill>
    </dxf>
    <dxf>
      <numFmt numFmtId="0" formatCode="General"/>
      <fill>
        <patternFill patternType="solid">
          <fgColor indexed="64"/>
          <bgColor theme="9" tint="0.79998168889431442"/>
        </patternFill>
      </fill>
    </dxf>
    <dxf>
      <numFmt numFmtId="0" formatCode="General"/>
      <fill>
        <patternFill patternType="solid">
          <fgColor indexed="64"/>
          <bgColor theme="9" tint="0.79998168889431442"/>
        </patternFill>
      </fill>
    </dxf>
    <dxf>
      <font>
        <color theme="1" tint="0.24994659260841701"/>
      </font>
      <border>
        <bottom style="thin">
          <color theme="4"/>
        </bottom>
        <vertical/>
        <horizontal/>
      </border>
    </dxf>
    <dxf>
      <font>
        <color theme="1"/>
      </font>
      <fill>
        <patternFill patternType="solid">
          <bgColor theme="4"/>
        </patternFill>
      </fill>
      <border diagonalUp="0" diagonalDown="0">
        <left/>
        <right/>
        <top/>
        <bottom/>
        <vertical/>
        <horizontal/>
      </border>
    </dxf>
  </dxfs>
  <tableStyles count="1" defaultTableStyle="TableStyleMedium2" defaultPivotStyle="PivotStyleLight16">
    <tableStyle name="NoFillBackground" pivot="0" table="0" count="10" xr9:uid="{4FBF2EA2-545D-4A07-B0C9-7EAE64BF0195}">
      <tableStyleElement type="wholeTable" dxfId="77"/>
      <tableStyleElement type="headerRow" dxfId="76"/>
    </tableStyle>
  </tableStyles>
  <colors>
    <mruColors>
      <color rgb="FFFFFFFF"/>
      <color rgb="FF584871"/>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NoFillBackgroun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dLbl>
          <c:idx val="0"/>
          <c:showLegendKey val="0"/>
          <c:showVal val="1"/>
          <c:showCatName val="0"/>
          <c:showSerName val="0"/>
          <c:showPercent val="1"/>
          <c:showBubbleSize val="0"/>
          <c:separator>
</c:separator>
          <c:extLst>
            <c:ext xmlns:c15="http://schemas.microsoft.com/office/drawing/2012/chart" uri="{CE6537A1-D6FC-4f65-9D91-7224C49458BB}"/>
          </c:extLst>
        </c:dLbl>
      </c:pivotFmt>
      <c:pivotFmt>
        <c:idx val="2"/>
      </c:pivotFmt>
      <c:pivotFmt>
        <c:idx val="3"/>
      </c:pivotFmt>
      <c:pivotFmt>
        <c:idx val="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layout>
                <c:manualLayout>
                  <c:w val="0.31909940057186903"/>
                  <c:h val="0.3280347677738954"/>
                </c:manualLayout>
              </c15:layout>
            </c:ext>
          </c:extLst>
        </c:dLbl>
      </c:pivotFmt>
      <c:pivotFmt>
        <c:idx val="6"/>
      </c:pivotFmt>
    </c:pivotFmts>
    <c:plotArea>
      <c:layout>
        <c:manualLayout>
          <c:layoutTarget val="inner"/>
          <c:xMode val="edge"/>
          <c:yMode val="edge"/>
          <c:x val="5.1435750802798788E-2"/>
          <c:y val="5.1345883904338467E-2"/>
          <c:w val="0.87799081717479777"/>
          <c:h val="0.8036782954924796"/>
        </c:manualLayout>
      </c:layout>
      <c:doughnutChart>
        <c:varyColors val="1"/>
        <c:dLbls>
          <c:showLegendKey val="0"/>
          <c:showVal val="1"/>
          <c:showCatName val="0"/>
          <c:showSerName val="0"/>
          <c:showPercent val="0"/>
          <c:showBubbleSize val="0"/>
          <c:showLeaderLines val="0"/>
        </c:dLbls>
        <c:firstSliceAng val="30"/>
        <c:holeSize val="5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[Vincent_Personal_Finance - Copy.xlsm]Analysis!PivotTable3</c:name>
    <c:fmtId val="3"/>
  </c:pivotSource>
  <c:chart>
    <c:autoTitleDeleted val="1"/>
    <c:pivotFmts>
      <c:pivotFmt>
        <c:idx val="0"/>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anchor="ctr" anchorCtr="1"/>
            <a:lstStyle/>
            <a:p>
              <a:pPr>
                <a:defRPr sz="900" b="1" i="0" u="none" strike="noStrike" kern="1200" baseline="0">
                  <a:ln>
                    <a:noFill/>
                  </a:ln>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ln>
                    <a:noFill/>
                  </a:ln>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ln>
                    <a:noFill/>
                  </a:ln>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6">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6">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2933400952297333"/>
          <c:y val="0.12607909941461104"/>
          <c:w val="0.79761341248555917"/>
          <c:h val="0.7612713282069502"/>
        </c:manualLayout>
      </c:layout>
      <c:doughnutChart>
        <c:varyColors val="1"/>
        <c:ser>
          <c:idx val="0"/>
          <c:order val="0"/>
          <c:tx>
            <c:strRef>
              <c:f>Analysis!$B$12</c:f>
              <c:strCache>
                <c:ptCount val="1"/>
                <c:pt idx="0">
                  <c:v>Total</c:v>
                </c:pt>
              </c:strCache>
            </c:strRef>
          </c:tx>
          <c:dPt>
            <c:idx val="0"/>
            <c:bubble3D val="0"/>
            <c:spPr>
              <a:solidFill>
                <a:schemeClr val="accent6">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5CC-431A-B47B-D81C847887EB}"/>
              </c:ext>
            </c:extLst>
          </c:dPt>
          <c:dPt>
            <c:idx val="1"/>
            <c:bubble3D val="0"/>
            <c:spPr>
              <a:solidFill>
                <a:schemeClr val="accent6">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5CC-431A-B47B-D81C847887EB}"/>
              </c:ext>
            </c:extLst>
          </c:dPt>
          <c:dLbls>
            <c:spPr>
              <a:noFill/>
              <a:ln>
                <a:noFill/>
              </a:ln>
              <a:effectLst/>
            </c:spPr>
            <c:txPr>
              <a:bodyPr rot="0" spcFirstLastPara="1" vertOverflow="ellipsis" vert="horz" wrap="square" anchor="ctr" anchorCtr="1"/>
              <a:lstStyle/>
              <a:p>
                <a:pPr>
                  <a:defRPr sz="1200" b="1" i="0" u="none" strike="noStrike" kern="1200" baseline="0">
                    <a:ln>
                      <a:noFill/>
                    </a:ln>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Analysis!$A$13:$A$15</c:f>
              <c:strCache>
                <c:ptCount val="2"/>
                <c:pt idx="0">
                  <c:v>Checking</c:v>
                </c:pt>
                <c:pt idx="1">
                  <c:v>Credit</c:v>
                </c:pt>
              </c:strCache>
            </c:strRef>
          </c:cat>
          <c:val>
            <c:numRef>
              <c:f>Analysis!$B$13:$B$15</c:f>
              <c:numCache>
                <c:formatCode>_ [$¥-804]* #,##0.00_ ;_ [$¥-804]* \-#,##0.00_ ;_ [$¥-804]* "-"??_ ;_ @_ </c:formatCode>
                <c:ptCount val="2"/>
                <c:pt idx="0">
                  <c:v>12674.7</c:v>
                </c:pt>
                <c:pt idx="1">
                  <c:v>17970.300000000003</c:v>
                </c:pt>
              </c:numCache>
            </c:numRef>
          </c:val>
          <c:extLst>
            <c:ext xmlns:c16="http://schemas.microsoft.com/office/drawing/2014/chart" uri="{C3380CC4-5D6E-409C-BE32-E72D297353CC}">
              <c16:uniqueId val="{00000004-F5CC-431A-B47B-D81C847887EB}"/>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[Vincent_Personal_Finance - Copy.xlsm]Analysis!PivotTable5</c:name>
    <c:fmtId val="3"/>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Analysis!$E$2</c:f>
              <c:strCache>
                <c:ptCount val="1"/>
                <c:pt idx="0">
                  <c:v>Total</c:v>
                </c:pt>
              </c:strCache>
            </c:strRef>
          </c:tx>
          <c:spPr>
            <a:solidFill>
              <a:schemeClr val="accent6"/>
            </a:solidFill>
            <a:ln>
              <a:noFill/>
            </a:ln>
            <a:effectLst/>
          </c:spPr>
          <c:cat>
            <c:strRef>
              <c:f>Analysis!$D$3:$D$13</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Analysis!$E$3:$E$13</c:f>
              <c:numCache>
                <c:formatCode>_ [$¥-804]* #,##0.00_ ;_ [$¥-804]* \-#,##0.00_ ;_ [$¥-804]* "-"??_ ;_ @_ </c:formatCode>
                <c:ptCount val="10"/>
                <c:pt idx="0">
                  <c:v>3058</c:v>
                </c:pt>
                <c:pt idx="1">
                  <c:v>2934.6000000000004</c:v>
                </c:pt>
                <c:pt idx="2">
                  <c:v>3079.7</c:v>
                </c:pt>
                <c:pt idx="3">
                  <c:v>3068</c:v>
                </c:pt>
                <c:pt idx="4">
                  <c:v>3146.1</c:v>
                </c:pt>
                <c:pt idx="5">
                  <c:v>3035.7</c:v>
                </c:pt>
                <c:pt idx="6">
                  <c:v>3095</c:v>
                </c:pt>
                <c:pt idx="7">
                  <c:v>2982.0999999999995</c:v>
                </c:pt>
                <c:pt idx="8">
                  <c:v>3117.1</c:v>
                </c:pt>
                <c:pt idx="9">
                  <c:v>3128.7</c:v>
                </c:pt>
              </c:numCache>
            </c:numRef>
          </c:val>
          <c:extLst>
            <c:ext xmlns:c16="http://schemas.microsoft.com/office/drawing/2014/chart" uri="{C3380CC4-5D6E-409C-BE32-E72D297353CC}">
              <c16:uniqueId val="{00000000-E59C-4A4C-93BC-CDD2B8F91E90}"/>
            </c:ext>
          </c:extLst>
        </c:ser>
        <c:dLbls>
          <c:showLegendKey val="0"/>
          <c:showVal val="0"/>
          <c:showCatName val="0"/>
          <c:showSerName val="0"/>
          <c:showPercent val="0"/>
          <c:showBubbleSize val="0"/>
        </c:dLbls>
        <c:axId val="1571778639"/>
        <c:axId val="1571772815"/>
      </c:areaChart>
      <c:catAx>
        <c:axId val="1571778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1772815"/>
        <c:crosses val="autoZero"/>
        <c:auto val="1"/>
        <c:lblAlgn val="ctr"/>
        <c:lblOffset val="100"/>
        <c:noMultiLvlLbl val="0"/>
      </c:catAx>
      <c:valAx>
        <c:axId val="1571772815"/>
        <c:scaling>
          <c:orientation val="minMax"/>
        </c:scaling>
        <c:delete val="0"/>
        <c:axPos val="l"/>
        <c:numFmt formatCode="_ [$¥-804]* #,##0.00_ ;_ [$¥-804]* \-#,##0.00_ ;_ [$¥-804]*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71778639"/>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[Vincent_Personal_Finance - Copy.xlsm]Analysis!PivotTable6</c:name>
    <c:fmtId val="3"/>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Analysis!$E$17</c:f>
              <c:strCache>
                <c:ptCount val="1"/>
                <c:pt idx="0">
                  <c:v>Total</c:v>
                </c:pt>
              </c:strCache>
            </c:strRef>
          </c:tx>
          <c:spPr>
            <a:solidFill>
              <a:schemeClr val="accent6"/>
            </a:solidFill>
            <a:ln>
              <a:noFill/>
            </a:ln>
            <a:effectLst/>
          </c:spPr>
          <c:cat>
            <c:strRef>
              <c:f>Analysis!$D$18:$D$28</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Analysis!$E$18:$E$28</c:f>
              <c:numCache>
                <c:formatCode>_ [$¥-804]* #,##0.00_ ;_ [$¥-804]* \-#,##0.00_ ;_ [$¥-804]* "-"??_ ;_ @_ </c:formatCode>
                <c:ptCount val="10"/>
                <c:pt idx="0">
                  <c:v>942</c:v>
                </c:pt>
                <c:pt idx="1">
                  <c:v>1065.3999999999996</c:v>
                </c:pt>
                <c:pt idx="2">
                  <c:v>920.30000000000018</c:v>
                </c:pt>
                <c:pt idx="3">
                  <c:v>932</c:v>
                </c:pt>
                <c:pt idx="4">
                  <c:v>853.90000000000009</c:v>
                </c:pt>
                <c:pt idx="5">
                  <c:v>964.30000000000018</c:v>
                </c:pt>
                <c:pt idx="6">
                  <c:v>905</c:v>
                </c:pt>
                <c:pt idx="7">
                  <c:v>1017.9000000000005</c:v>
                </c:pt>
                <c:pt idx="8">
                  <c:v>882.90000000000009</c:v>
                </c:pt>
                <c:pt idx="9">
                  <c:v>871.30000000000018</c:v>
                </c:pt>
              </c:numCache>
            </c:numRef>
          </c:val>
          <c:extLst>
            <c:ext xmlns:c16="http://schemas.microsoft.com/office/drawing/2014/chart" uri="{C3380CC4-5D6E-409C-BE32-E72D297353CC}">
              <c16:uniqueId val="{00000000-96B4-4B4E-88A4-4C6E37BB7FD1}"/>
            </c:ext>
          </c:extLst>
        </c:ser>
        <c:dLbls>
          <c:showLegendKey val="0"/>
          <c:showVal val="0"/>
          <c:showCatName val="0"/>
          <c:showSerName val="0"/>
          <c:showPercent val="0"/>
          <c:showBubbleSize val="0"/>
        </c:dLbls>
        <c:axId val="1591386463"/>
        <c:axId val="1591386879"/>
      </c:areaChart>
      <c:catAx>
        <c:axId val="159138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91386879"/>
        <c:crosses val="autoZero"/>
        <c:auto val="1"/>
        <c:lblAlgn val="ctr"/>
        <c:lblOffset val="100"/>
        <c:noMultiLvlLbl val="0"/>
      </c:catAx>
      <c:valAx>
        <c:axId val="1591386879"/>
        <c:scaling>
          <c:orientation val="minMax"/>
        </c:scaling>
        <c:delete val="0"/>
        <c:axPos val="l"/>
        <c:numFmt formatCode="_ [$¥-804]* #,##0.00_ ;_ [$¥-804]* \-#,##0.00_ ;_ [$¥-804]*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9138646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[Vincent_Personal_Finance - Copy.xlsm]Analysis!PivotTable7</c:name>
    <c:fmtId val="3"/>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6"/>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6"/>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6"/>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6"/>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6"/>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6"/>
            </a:solidFill>
            <a:round/>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914260717410323E-2"/>
          <c:y val="0.11574074074074074"/>
          <c:w val="0.843821084864392"/>
          <c:h val="0.77685987168270632"/>
        </c:manualLayout>
      </c:layout>
      <c:lineChart>
        <c:grouping val="standard"/>
        <c:varyColors val="0"/>
        <c:ser>
          <c:idx val="0"/>
          <c:order val="0"/>
          <c:tx>
            <c:strRef>
              <c:f>Analysis!$H$3:$H$4</c:f>
              <c:strCache>
                <c:ptCount val="1"/>
                <c:pt idx="0">
                  <c:v>Charity</c:v>
                </c:pt>
              </c:strCache>
            </c:strRef>
          </c:tx>
          <c:spPr>
            <a:ln w="28575" cap="rnd">
              <a:solidFill>
                <a:schemeClr val="accent6"/>
              </a:solidFill>
              <a:round/>
            </a:ln>
            <a:effectLst/>
          </c:spPr>
          <c:marker>
            <c:symbol val="none"/>
          </c:marker>
          <c:cat>
            <c:strRef>
              <c:f>Analysis!$G$5:$G$15</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Analysis!$H$5:$H$15</c:f>
              <c:numCache>
                <c:formatCode>_ [$¥-804]* #,##0.00_ ;_ [$¥-804]* \-#,##0.00_ ;_ [$¥-804]* "-"??_ ;_ @_ </c:formatCode>
                <c:ptCount val="10"/>
                <c:pt idx="0">
                  <c:v>55</c:v>
                </c:pt>
                <c:pt idx="1">
                  <c:v>55</c:v>
                </c:pt>
                <c:pt idx="2">
                  <c:v>55</c:v>
                </c:pt>
                <c:pt idx="3">
                  <c:v>55</c:v>
                </c:pt>
                <c:pt idx="4">
                  <c:v>55</c:v>
                </c:pt>
                <c:pt idx="5">
                  <c:v>55</c:v>
                </c:pt>
                <c:pt idx="6">
                  <c:v>55</c:v>
                </c:pt>
                <c:pt idx="7">
                  <c:v>55</c:v>
                </c:pt>
                <c:pt idx="8">
                  <c:v>55</c:v>
                </c:pt>
                <c:pt idx="9">
                  <c:v>55</c:v>
                </c:pt>
              </c:numCache>
            </c:numRef>
          </c:val>
          <c:smooth val="0"/>
          <c:extLst>
            <c:ext xmlns:c16="http://schemas.microsoft.com/office/drawing/2014/chart" uri="{C3380CC4-5D6E-409C-BE32-E72D297353CC}">
              <c16:uniqueId val="{00000000-B191-4317-B893-B127E6090F47}"/>
            </c:ext>
          </c:extLst>
        </c:ser>
        <c:ser>
          <c:idx val="1"/>
          <c:order val="1"/>
          <c:tx>
            <c:strRef>
              <c:f>Analysis!$I$3:$I$4</c:f>
              <c:strCache>
                <c:ptCount val="1"/>
                <c:pt idx="0">
                  <c:v>Dining Out</c:v>
                </c:pt>
              </c:strCache>
            </c:strRef>
          </c:tx>
          <c:spPr>
            <a:ln w="28575" cap="rnd">
              <a:solidFill>
                <a:schemeClr val="accent5"/>
              </a:solidFill>
              <a:round/>
            </a:ln>
            <a:effectLst/>
          </c:spPr>
          <c:marker>
            <c:symbol val="none"/>
          </c:marker>
          <c:cat>
            <c:strRef>
              <c:f>Analysis!$G$5:$G$15</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Analysis!$I$5:$I$15</c:f>
              <c:numCache>
                <c:formatCode>_ [$¥-804]* #,##0.00_ ;_ [$¥-804]* \-#,##0.00_ ;_ [$¥-804]* "-"??_ ;_ @_ </c:formatCode>
                <c:ptCount val="10"/>
                <c:pt idx="0">
                  <c:v>206</c:v>
                </c:pt>
                <c:pt idx="1">
                  <c:v>208.8</c:v>
                </c:pt>
                <c:pt idx="2">
                  <c:v>237</c:v>
                </c:pt>
                <c:pt idx="3">
                  <c:v>240.1</c:v>
                </c:pt>
                <c:pt idx="4">
                  <c:v>243.2</c:v>
                </c:pt>
                <c:pt idx="5">
                  <c:v>241.1</c:v>
                </c:pt>
                <c:pt idx="6">
                  <c:v>259.29999999999995</c:v>
                </c:pt>
                <c:pt idx="7">
                  <c:v>252.5</c:v>
                </c:pt>
                <c:pt idx="8">
                  <c:v>250.5</c:v>
                </c:pt>
                <c:pt idx="9">
                  <c:v>258.39999999999998</c:v>
                </c:pt>
              </c:numCache>
            </c:numRef>
          </c:val>
          <c:smooth val="0"/>
          <c:extLst>
            <c:ext xmlns:c16="http://schemas.microsoft.com/office/drawing/2014/chart" uri="{C3380CC4-5D6E-409C-BE32-E72D297353CC}">
              <c16:uniqueId val="{00000001-B191-4317-B893-B127E6090F47}"/>
            </c:ext>
          </c:extLst>
        </c:ser>
        <c:ser>
          <c:idx val="2"/>
          <c:order val="2"/>
          <c:tx>
            <c:strRef>
              <c:f>Analysis!$J$3:$J$4</c:f>
              <c:strCache>
                <c:ptCount val="1"/>
                <c:pt idx="0">
                  <c:v>Discretionary</c:v>
                </c:pt>
              </c:strCache>
            </c:strRef>
          </c:tx>
          <c:spPr>
            <a:ln w="28575" cap="rnd">
              <a:solidFill>
                <a:schemeClr val="accent4"/>
              </a:solidFill>
              <a:round/>
            </a:ln>
            <a:effectLst/>
          </c:spPr>
          <c:marker>
            <c:symbol val="none"/>
          </c:marker>
          <c:cat>
            <c:strRef>
              <c:f>Analysis!$G$5:$G$15</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Analysis!$J$5:$J$15</c:f>
              <c:numCache>
                <c:formatCode>_ [$¥-804]* #,##0.00_ ;_ [$¥-804]* \-#,##0.00_ ;_ [$¥-804]* "-"??_ ;_ @_ </c:formatCode>
                <c:ptCount val="10"/>
                <c:pt idx="0">
                  <c:v>690</c:v>
                </c:pt>
                <c:pt idx="1">
                  <c:v>659.80000000000007</c:v>
                </c:pt>
                <c:pt idx="2">
                  <c:v>704.80000000000007</c:v>
                </c:pt>
                <c:pt idx="3">
                  <c:v>832.6</c:v>
                </c:pt>
                <c:pt idx="4">
                  <c:v>772.7</c:v>
                </c:pt>
                <c:pt idx="5">
                  <c:v>723.19999999999993</c:v>
                </c:pt>
                <c:pt idx="6">
                  <c:v>729.10000000000014</c:v>
                </c:pt>
                <c:pt idx="7">
                  <c:v>735.19999999999993</c:v>
                </c:pt>
                <c:pt idx="8">
                  <c:v>732.9</c:v>
                </c:pt>
                <c:pt idx="9">
                  <c:v>747.30000000000007</c:v>
                </c:pt>
              </c:numCache>
            </c:numRef>
          </c:val>
          <c:smooth val="0"/>
          <c:extLst>
            <c:ext xmlns:c16="http://schemas.microsoft.com/office/drawing/2014/chart" uri="{C3380CC4-5D6E-409C-BE32-E72D297353CC}">
              <c16:uniqueId val="{00000002-B191-4317-B893-B127E6090F47}"/>
            </c:ext>
          </c:extLst>
        </c:ser>
        <c:ser>
          <c:idx val="3"/>
          <c:order val="3"/>
          <c:tx>
            <c:strRef>
              <c:f>Analysis!$K$3:$K$4</c:f>
              <c:strCache>
                <c:ptCount val="1"/>
                <c:pt idx="0">
                  <c:v>Living Expenses</c:v>
                </c:pt>
              </c:strCache>
            </c:strRef>
          </c:tx>
          <c:spPr>
            <a:ln w="28575" cap="rnd">
              <a:solidFill>
                <a:schemeClr val="accent6">
                  <a:lumMod val="60000"/>
                </a:schemeClr>
              </a:solidFill>
              <a:round/>
            </a:ln>
            <a:effectLst/>
          </c:spPr>
          <c:marker>
            <c:symbol val="none"/>
          </c:marker>
          <c:cat>
            <c:strRef>
              <c:f>Analysis!$G$5:$G$15</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Analysis!$K$5:$K$15</c:f>
              <c:numCache>
                <c:formatCode>_ [$¥-804]* #,##0.00_ ;_ [$¥-804]* \-#,##0.00_ ;_ [$¥-804]* "-"??_ ;_ @_ </c:formatCode>
                <c:ptCount val="10"/>
                <c:pt idx="0">
                  <c:v>1612</c:v>
                </c:pt>
                <c:pt idx="1">
                  <c:v>1665.9</c:v>
                </c:pt>
                <c:pt idx="2">
                  <c:v>1659</c:v>
                </c:pt>
                <c:pt idx="3">
                  <c:v>1587.3000000000002</c:v>
                </c:pt>
                <c:pt idx="4">
                  <c:v>1642.9999999999998</c:v>
                </c:pt>
                <c:pt idx="5">
                  <c:v>1655.1000000000001</c:v>
                </c:pt>
                <c:pt idx="6">
                  <c:v>1686.1999999999998</c:v>
                </c:pt>
                <c:pt idx="7">
                  <c:v>1570.1</c:v>
                </c:pt>
                <c:pt idx="8">
                  <c:v>1705.4</c:v>
                </c:pt>
                <c:pt idx="9">
                  <c:v>1615.8000000000002</c:v>
                </c:pt>
              </c:numCache>
            </c:numRef>
          </c:val>
          <c:smooth val="0"/>
          <c:extLst>
            <c:ext xmlns:c16="http://schemas.microsoft.com/office/drawing/2014/chart" uri="{C3380CC4-5D6E-409C-BE32-E72D297353CC}">
              <c16:uniqueId val="{00000003-B191-4317-B893-B127E6090F47}"/>
            </c:ext>
          </c:extLst>
        </c:ser>
        <c:ser>
          <c:idx val="4"/>
          <c:order val="4"/>
          <c:tx>
            <c:strRef>
              <c:f>Analysis!$L$3:$L$4</c:f>
              <c:strCache>
                <c:ptCount val="1"/>
                <c:pt idx="0">
                  <c:v>Medical</c:v>
                </c:pt>
              </c:strCache>
            </c:strRef>
          </c:tx>
          <c:spPr>
            <a:ln w="28575" cap="rnd">
              <a:solidFill>
                <a:schemeClr val="accent5">
                  <a:lumMod val="60000"/>
                </a:schemeClr>
              </a:solidFill>
              <a:round/>
            </a:ln>
            <a:effectLst/>
          </c:spPr>
          <c:marker>
            <c:symbol val="none"/>
          </c:marker>
          <c:cat>
            <c:strRef>
              <c:f>Analysis!$G$5:$G$15</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Analysis!$L$5:$L$15</c:f>
              <c:numCache>
                <c:formatCode>_ [$¥-804]* #,##0.00_ ;_ [$¥-804]* \-#,##0.00_ ;_ [$¥-804]* "-"??_ ;_ @_ </c:formatCode>
                <c:ptCount val="10"/>
                <c:pt idx="0">
                  <c:v>154</c:v>
                </c:pt>
                <c:pt idx="2">
                  <c:v>75</c:v>
                </c:pt>
                <c:pt idx="4">
                  <c:v>75</c:v>
                </c:pt>
                <c:pt idx="9">
                  <c:v>75</c:v>
                </c:pt>
              </c:numCache>
            </c:numRef>
          </c:val>
          <c:smooth val="0"/>
          <c:extLst>
            <c:ext xmlns:c16="http://schemas.microsoft.com/office/drawing/2014/chart" uri="{C3380CC4-5D6E-409C-BE32-E72D297353CC}">
              <c16:uniqueId val="{00000004-B191-4317-B893-B127E6090F47}"/>
            </c:ext>
          </c:extLst>
        </c:ser>
        <c:ser>
          <c:idx val="5"/>
          <c:order val="5"/>
          <c:tx>
            <c:strRef>
              <c:f>Analysis!$M$3:$M$4</c:f>
              <c:strCache>
                <c:ptCount val="1"/>
                <c:pt idx="0">
                  <c:v>Transport</c:v>
                </c:pt>
              </c:strCache>
            </c:strRef>
          </c:tx>
          <c:spPr>
            <a:ln w="28575" cap="rnd">
              <a:solidFill>
                <a:schemeClr val="accent4">
                  <a:lumMod val="60000"/>
                </a:schemeClr>
              </a:solidFill>
              <a:round/>
            </a:ln>
            <a:effectLst/>
          </c:spPr>
          <c:marker>
            <c:symbol val="none"/>
          </c:marker>
          <c:cat>
            <c:strRef>
              <c:f>Analysis!$G$5:$G$15</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Analysis!$M$5:$M$15</c:f>
              <c:numCache>
                <c:formatCode>_ [$¥-804]* #,##0.00_ ;_ [$¥-804]* \-#,##0.00_ ;_ [$¥-804]* "-"??_ ;_ @_ </c:formatCode>
                <c:ptCount val="10"/>
                <c:pt idx="0">
                  <c:v>341</c:v>
                </c:pt>
                <c:pt idx="1">
                  <c:v>345.1</c:v>
                </c:pt>
                <c:pt idx="2">
                  <c:v>348.9</c:v>
                </c:pt>
                <c:pt idx="3">
                  <c:v>353</c:v>
                </c:pt>
                <c:pt idx="4">
                  <c:v>357.2</c:v>
                </c:pt>
                <c:pt idx="5">
                  <c:v>361.3</c:v>
                </c:pt>
                <c:pt idx="6">
                  <c:v>365.40000000000003</c:v>
                </c:pt>
                <c:pt idx="7">
                  <c:v>369.3</c:v>
                </c:pt>
                <c:pt idx="8">
                  <c:v>373.3</c:v>
                </c:pt>
                <c:pt idx="9">
                  <c:v>377.20000000000005</c:v>
                </c:pt>
              </c:numCache>
            </c:numRef>
          </c:val>
          <c:smooth val="0"/>
          <c:extLst>
            <c:ext xmlns:c16="http://schemas.microsoft.com/office/drawing/2014/chart" uri="{C3380CC4-5D6E-409C-BE32-E72D297353CC}">
              <c16:uniqueId val="{00000005-B191-4317-B893-B127E6090F47}"/>
            </c:ext>
          </c:extLst>
        </c:ser>
        <c:dLbls>
          <c:showLegendKey val="0"/>
          <c:showVal val="0"/>
          <c:showCatName val="0"/>
          <c:showSerName val="0"/>
          <c:showPercent val="0"/>
          <c:showBubbleSize val="0"/>
        </c:dLbls>
        <c:smooth val="0"/>
        <c:axId val="604023583"/>
        <c:axId val="604021919"/>
      </c:lineChart>
      <c:catAx>
        <c:axId val="604023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04021919"/>
        <c:crosses val="autoZero"/>
        <c:auto val="1"/>
        <c:lblAlgn val="ctr"/>
        <c:lblOffset val="100"/>
        <c:noMultiLvlLbl val="0"/>
      </c:catAx>
      <c:valAx>
        <c:axId val="604021919"/>
        <c:scaling>
          <c:orientation val="minMax"/>
        </c:scaling>
        <c:delete val="0"/>
        <c:axPos val="l"/>
        <c:numFmt formatCode="_ [$¥-804]* #,##0.00_ ;_ [$¥-804]* \-#,##0.00_ ;_ [$¥-804]*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04023583"/>
        <c:crosses val="autoZero"/>
        <c:crossBetween val="between"/>
      </c:valAx>
      <c:spPr>
        <a:noFill/>
        <a:ln>
          <a:noFill/>
        </a:ln>
        <a:effectLst/>
      </c:spPr>
    </c:plotArea>
    <c:legend>
      <c:legendPos val="r"/>
      <c:layout>
        <c:manualLayout>
          <c:xMode val="edge"/>
          <c:yMode val="edge"/>
          <c:x val="0"/>
          <c:y val="2.0252989209682125E-2"/>
          <c:w val="1"/>
          <c:h val="6.5975503062117233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plotArea>
      <cx:plotAreaRegion>
        <cx:series layoutId="treemap" uniqueId="{00000004-DA5F-4867-A119-DAB44A7FD428}">
          <cx:tx>
            <cx:txData>
              <cx:f>_xlchart.v1.4</cx:f>
              <cx:v>Sum of Debit</cx:v>
            </cx:txData>
          </cx:tx>
          <cx:dataLabels>
            <cx:txPr>
              <a:bodyPr vertOverflow="overflow" horzOverflow="overflow" wrap="square" lIns="0" tIns="0" rIns="0" bIns="0"/>
              <a:lstStyle/>
              <a:p>
                <a:pPr algn="ctr" rtl="0">
                  <a:defRPr sz="1200" b="1" i="0">
                    <a:solidFill>
                      <a:srgbClr val="FFFFFF"/>
                    </a:solidFill>
                    <a:latin typeface="Calibri" panose="020F0502020204030204" pitchFamily="34" charset="0"/>
                    <a:ea typeface="Calibri" panose="020F0502020204030204" pitchFamily="34" charset="0"/>
                    <a:cs typeface="Calibri" panose="020F0502020204030204" pitchFamily="34" charset="0"/>
                  </a:defRPr>
                </a:pPr>
                <a:endParaRPr lang="en-US" sz="1200" b="1"/>
              </a:p>
            </cx:txPr>
            <cx:visibility seriesName="0" categoryName="1" value="1"/>
            <cx:separator>, </cx:separator>
          </cx:dataLabels>
          <cx:dataId val="0"/>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cx:f>
      </cx:strDim>
      <cx:numDim type="val">
        <cx:f>_xlchart.v1.2</cx:f>
      </cx:numDim>
    </cx:data>
  </cx:chartData>
  <cx:chart>
    <cx:plotArea>
      <cx:plotAreaRegion>
        <cx:series layoutId="waterfall" uniqueId="{00000004-4D9E-4053-B9EC-3A7D242FF1BD}">
          <cx:tx>
            <cx:txData>
              <cx:f>_xlchart.v1.0</cx:f>
              <cx:v>Sum of Amount</cx:v>
            </cx:txData>
          </cx:tx>
          <cx:dataLabels>
            <cx:txPr>
              <a:bodyPr vertOverflow="overflow" horzOverflow="overflow" wrap="square" lIns="0" tIns="0" rIns="0" bIns="0"/>
              <a:lstStyle/>
              <a:p>
                <a:pPr algn="ctr" rtl="0">
                  <a:defRPr sz="900" b="1"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b="1"/>
              </a:p>
            </cx:txPr>
            <cx:visibility seriesName="0" categoryName="0" value="1"/>
          </cx:dataLabels>
          <cx:dataId val="0"/>
          <cx:layoutPr>
            <cx:subtotals>
              <cx:idx val="7"/>
            </cx:subtotals>
          </cx:layoutPr>
        </cx:series>
      </cx:plotAreaRegion>
      <cx:axis id="0">
        <cx:catScaling gapWidth="0.5"/>
        <cx:tickLabels/>
        <cx:txPr>
          <a:bodyPr vertOverflow="overflow" horzOverflow="overflow" wrap="square" lIns="0" tIns="0" rIns="0" bIns="0"/>
          <a:lstStyle/>
          <a:p>
            <a:pPr algn="ctr" rtl="0">
              <a:defRPr sz="900" b="1"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b="1"/>
          </a:p>
        </cx:txPr>
      </cx:axis>
      <cx:axis id="1">
        <cx:valScaling/>
        <cx:tickLabels/>
        <cx:txPr>
          <a:bodyPr vertOverflow="overflow" horzOverflow="overflow" wrap="square" lIns="0" tIns="0" rIns="0" bIns="0"/>
          <a:lstStyle/>
          <a:p>
            <a:pPr algn="ctr" rtl="0">
              <a:defRPr sz="900" b="1"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b="1"/>
          </a:p>
        </cx:txPr>
      </cx:axis>
    </cx:plotArea>
  </cx:chart>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svg"/><Relationship Id="rId18" Type="http://schemas.microsoft.com/office/2014/relationships/chartEx" Target="../charts/chartEx1.xml"/><Relationship Id="rId3" Type="http://schemas.openxmlformats.org/officeDocument/2006/relationships/image" Target="../media/image2.svg"/><Relationship Id="rId7" Type="http://schemas.openxmlformats.org/officeDocument/2006/relationships/image" Target="../media/image6.svg"/><Relationship Id="rId12" Type="http://schemas.openxmlformats.org/officeDocument/2006/relationships/image" Target="../media/image11.png"/><Relationship Id="rId17" Type="http://schemas.openxmlformats.org/officeDocument/2006/relationships/chart" Target="../charts/chart5.xml"/><Relationship Id="rId2" Type="http://schemas.openxmlformats.org/officeDocument/2006/relationships/image" Target="../media/image1.png"/><Relationship Id="rId16" Type="http://schemas.openxmlformats.org/officeDocument/2006/relationships/chart" Target="../charts/chart4.xml"/><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image" Target="../media/image4.svg"/><Relationship Id="rId15" Type="http://schemas.openxmlformats.org/officeDocument/2006/relationships/chart" Target="../charts/chart3.xml"/><Relationship Id="rId10" Type="http://schemas.openxmlformats.org/officeDocument/2006/relationships/image" Target="../media/image9.png"/><Relationship Id="rId19" Type="http://schemas.microsoft.com/office/2014/relationships/chartEx" Target="../charts/chartEx2.xml"/><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6</xdr:row>
          <xdr:rowOff>0</xdr:rowOff>
        </xdr:from>
        <xdr:to>
          <xdr:col>7</xdr:col>
          <xdr:colOff>520700</xdr:colOff>
          <xdr:row>8</xdr:row>
          <xdr:rowOff>6350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54864" tIns="64008" rIns="54864" bIns="64008" anchor="ctr" upright="1"/>
            <a:lstStyle/>
            <a:p>
              <a:pPr algn="ctr" rtl="0">
                <a:defRPr sz="1000"/>
              </a:pPr>
              <a:r>
                <a:rPr lang="en-US" sz="1400" b="0" i="0" u="none" strike="noStrike" baseline="0">
                  <a:solidFill>
                    <a:srgbClr val="000000"/>
                  </a:solidFill>
                  <a:latin typeface="Arial Black"/>
                </a:rPr>
                <a:t>Enter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362857</xdr:colOff>
      <xdr:row>2</xdr:row>
      <xdr:rowOff>27216</xdr:rowOff>
    </xdr:from>
    <xdr:to>
      <xdr:col>26</xdr:col>
      <xdr:colOff>235857</xdr:colOff>
      <xdr:row>22</xdr:row>
      <xdr:rowOff>2442</xdr:rowOff>
    </xdr:to>
    <xdr:sp macro="" textlink="">
      <xdr:nvSpPr>
        <xdr:cNvPr id="35" name="Rectangle: Rounded Corners 34">
          <a:extLst>
            <a:ext uri="{FF2B5EF4-FFF2-40B4-BE49-F238E27FC236}">
              <a16:creationId xmlns:a16="http://schemas.microsoft.com/office/drawing/2014/main" id="{00000000-0008-0000-0100-000023000000}"/>
            </a:ext>
          </a:extLst>
        </xdr:cNvPr>
        <xdr:cNvSpPr/>
      </xdr:nvSpPr>
      <xdr:spPr>
        <a:xfrm>
          <a:off x="9969500" y="798287"/>
          <a:ext cx="7121071" cy="3603798"/>
        </a:xfrm>
        <a:prstGeom prst="roundRect">
          <a:avLst>
            <a:gd name="adj" fmla="val 3645"/>
          </a:avLst>
        </a:prstGeom>
        <a:solidFill>
          <a:schemeClr val="accent5">
            <a:lumMod val="20000"/>
            <a:lumOff val="80000"/>
          </a:schemeClr>
        </a:solidFill>
        <a:ln>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15</xdr:col>
      <xdr:colOff>362857</xdr:colOff>
      <xdr:row>22</xdr:row>
      <xdr:rowOff>41274</xdr:rowOff>
    </xdr:from>
    <xdr:to>
      <xdr:col>26</xdr:col>
      <xdr:colOff>226785</xdr:colOff>
      <xdr:row>40</xdr:row>
      <xdr:rowOff>45357</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9969500" y="4440917"/>
          <a:ext cx="7111999" cy="3705226"/>
        </a:xfrm>
        <a:prstGeom prst="roundRect">
          <a:avLst>
            <a:gd name="adj" fmla="val 3645"/>
          </a:avLst>
        </a:prstGeom>
        <a:solidFill>
          <a:schemeClr val="accent5">
            <a:lumMod val="20000"/>
            <a:lumOff val="80000"/>
          </a:schemeClr>
        </a:solidFill>
        <a:ln>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72785</xdr:colOff>
      <xdr:row>2</xdr:row>
      <xdr:rowOff>45358</xdr:rowOff>
    </xdr:from>
    <xdr:to>
      <xdr:col>7</xdr:col>
      <xdr:colOff>254000</xdr:colOff>
      <xdr:row>40</xdr:row>
      <xdr:rowOff>36285</xdr:rowOff>
    </xdr:to>
    <xdr:sp macro="" textlink="">
      <xdr:nvSpPr>
        <xdr:cNvPr id="32" name="Rectangle: Rounded Corners 31">
          <a:extLst>
            <a:ext uri="{FF2B5EF4-FFF2-40B4-BE49-F238E27FC236}">
              <a16:creationId xmlns:a16="http://schemas.microsoft.com/office/drawing/2014/main" id="{00000000-0008-0000-0100-000020000000}"/>
            </a:ext>
          </a:extLst>
        </xdr:cNvPr>
        <xdr:cNvSpPr/>
      </xdr:nvSpPr>
      <xdr:spPr>
        <a:xfrm>
          <a:off x="72785" y="816429"/>
          <a:ext cx="4435715" cy="7320642"/>
        </a:xfrm>
        <a:prstGeom prst="roundRect">
          <a:avLst>
            <a:gd name="adj" fmla="val 3645"/>
          </a:avLst>
        </a:prstGeom>
        <a:solidFill>
          <a:schemeClr val="accent5">
            <a:lumMod val="20000"/>
            <a:lumOff val="80000"/>
          </a:schemeClr>
        </a:solidFill>
        <a:ln>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9</xdr:col>
      <xdr:colOff>600075</xdr:colOff>
      <xdr:row>6</xdr:row>
      <xdr:rowOff>104775</xdr:rowOff>
    </xdr:from>
    <xdr:to>
      <xdr:col>11</xdr:col>
      <xdr:colOff>552450</xdr:colOff>
      <xdr:row>10</xdr:row>
      <xdr:rowOff>66675</xdr:rowOff>
    </xdr:to>
    <xdr:sp macro="" textlink="Analysis!B18">
      <xdr:nvSpPr>
        <xdr:cNvPr id="29" name="TextBox 28">
          <a:extLst>
            <a:ext uri="{FF2B5EF4-FFF2-40B4-BE49-F238E27FC236}">
              <a16:creationId xmlns:a16="http://schemas.microsoft.com/office/drawing/2014/main" id="{00000000-0008-0000-0100-00001D000000}"/>
            </a:ext>
          </a:extLst>
        </xdr:cNvPr>
        <xdr:cNvSpPr txBox="1"/>
      </xdr:nvSpPr>
      <xdr:spPr>
        <a:xfrm>
          <a:off x="6086475" y="1638300"/>
          <a:ext cx="1171575"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7E3F42-FF32-4835-A0A1-CB026301BC98}" type="TxLink">
            <a:rPr lang="en-US" sz="2000" b="0" i="0" u="none" strike="noStrike">
              <a:solidFill>
                <a:schemeClr val="bg1"/>
              </a:solidFill>
              <a:latin typeface="Calibri"/>
              <a:cs typeface="Calibri"/>
            </a:rPr>
            <a:pPr algn="ctr"/>
            <a:t> ¥4,303.60 </a:t>
          </a:fld>
          <a:endParaRPr lang="en-AU" sz="2000">
            <a:solidFill>
              <a:schemeClr val="bg1"/>
            </a:solidFill>
          </a:endParaRPr>
        </a:p>
      </xdr:txBody>
    </xdr:sp>
    <xdr:clientData/>
  </xdr:twoCellAnchor>
  <xdr:twoCellAnchor>
    <xdr:from>
      <xdr:col>15</xdr:col>
      <xdr:colOff>478061</xdr:colOff>
      <xdr:row>22</xdr:row>
      <xdr:rowOff>79375</xdr:rowOff>
    </xdr:from>
    <xdr:to>
      <xdr:col>26</xdr:col>
      <xdr:colOff>137429</xdr:colOff>
      <xdr:row>23</xdr:row>
      <xdr:rowOff>165554</xdr:rowOff>
    </xdr:to>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10084704" y="4479018"/>
          <a:ext cx="6907439" cy="267607"/>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75000"/>
                  <a:lumOff val="25000"/>
                </a:schemeClr>
              </a:solidFill>
            </a:rPr>
            <a:t>Expense by Category - YTD</a:t>
          </a:r>
        </a:p>
      </xdr:txBody>
    </xdr:sp>
    <xdr:clientData/>
  </xdr:twoCellAnchor>
  <xdr:twoCellAnchor>
    <xdr:from>
      <xdr:col>7</xdr:col>
      <xdr:colOff>317501</xdr:colOff>
      <xdr:row>2</xdr:row>
      <xdr:rowOff>63501</xdr:rowOff>
    </xdr:from>
    <xdr:to>
      <xdr:col>11</xdr:col>
      <xdr:colOff>426358</xdr:colOff>
      <xdr:row>21</xdr:row>
      <xdr:rowOff>54429</xdr:rowOff>
    </xdr:to>
    <xdr:graphicFrame macro="">
      <xdr:nvGraphicFramePr>
        <xdr:cNvPr id="28" name="Chart 27">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90715</xdr:colOff>
      <xdr:row>0</xdr:row>
      <xdr:rowOff>0</xdr:rowOff>
    </xdr:from>
    <xdr:to>
      <xdr:col>8</xdr:col>
      <xdr:colOff>517072</xdr:colOff>
      <xdr:row>0</xdr:row>
      <xdr:rowOff>426357</xdr:rowOff>
    </xdr:to>
    <xdr:pic>
      <xdr:nvPicPr>
        <xdr:cNvPr id="7" name="Graphic 6" descr="House with solid fill">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168572" y="0"/>
          <a:ext cx="426357" cy="426357"/>
        </a:xfrm>
        <a:prstGeom prst="rect">
          <a:avLst/>
        </a:prstGeom>
      </xdr:spPr>
    </xdr:pic>
    <xdr:clientData/>
  </xdr:twoCellAnchor>
  <xdr:oneCellAnchor>
    <xdr:from>
      <xdr:col>8</xdr:col>
      <xdr:colOff>72571</xdr:colOff>
      <xdr:row>0</xdr:row>
      <xdr:rowOff>362858</xdr:rowOff>
    </xdr:from>
    <xdr:ext cx="1177117" cy="280205"/>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6794500" y="362858"/>
          <a:ext cx="117711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bg1"/>
              </a:solidFill>
            </a:rPr>
            <a:t>Living Expenses</a:t>
          </a:r>
        </a:p>
      </xdr:txBody>
    </xdr:sp>
    <xdr:clientData/>
  </xdr:oneCellAnchor>
  <xdr:twoCellAnchor editAs="oneCell">
    <xdr:from>
      <xdr:col>11</xdr:col>
      <xdr:colOff>81643</xdr:colOff>
      <xdr:row>0</xdr:row>
      <xdr:rowOff>0</xdr:rowOff>
    </xdr:from>
    <xdr:to>
      <xdr:col>11</xdr:col>
      <xdr:colOff>544286</xdr:colOff>
      <xdr:row>0</xdr:row>
      <xdr:rowOff>462643</xdr:rowOff>
    </xdr:to>
    <xdr:pic>
      <xdr:nvPicPr>
        <xdr:cNvPr id="37" name="Graphic 36" descr="Shopping cart with solid fill">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626929" y="0"/>
          <a:ext cx="462643" cy="462643"/>
        </a:xfrm>
        <a:prstGeom prst="rect">
          <a:avLst/>
        </a:prstGeom>
      </xdr:spPr>
    </xdr:pic>
    <xdr:clientData/>
  </xdr:twoCellAnchor>
  <xdr:oneCellAnchor>
    <xdr:from>
      <xdr:col>11</xdr:col>
      <xdr:colOff>25400</xdr:colOff>
      <xdr:row>0</xdr:row>
      <xdr:rowOff>370116</xdr:rowOff>
    </xdr:from>
    <xdr:ext cx="1037335" cy="280205"/>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8570686" y="370116"/>
          <a:ext cx="103733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bg1"/>
              </a:solidFill>
            </a:rPr>
            <a:t>Discretionary</a:t>
          </a:r>
        </a:p>
      </xdr:txBody>
    </xdr:sp>
    <xdr:clientData/>
  </xdr:oneCellAnchor>
  <xdr:twoCellAnchor editAs="oneCell">
    <xdr:from>
      <xdr:col>14</xdr:col>
      <xdr:colOff>54428</xdr:colOff>
      <xdr:row>0</xdr:row>
      <xdr:rowOff>0</xdr:rowOff>
    </xdr:from>
    <xdr:to>
      <xdr:col>14</xdr:col>
      <xdr:colOff>580571</xdr:colOff>
      <xdr:row>0</xdr:row>
      <xdr:rowOff>526143</xdr:rowOff>
    </xdr:to>
    <xdr:pic>
      <xdr:nvPicPr>
        <xdr:cNvPr id="40" name="Graphic 39" descr="Car with solid fill">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423071" y="0"/>
          <a:ext cx="526143" cy="526143"/>
        </a:xfrm>
        <a:prstGeom prst="rect">
          <a:avLst/>
        </a:prstGeom>
      </xdr:spPr>
    </xdr:pic>
    <xdr:clientData/>
  </xdr:twoCellAnchor>
  <xdr:oneCellAnchor>
    <xdr:from>
      <xdr:col>13</xdr:col>
      <xdr:colOff>589643</xdr:colOff>
      <xdr:row>0</xdr:row>
      <xdr:rowOff>381000</xdr:rowOff>
    </xdr:from>
    <xdr:ext cx="808811" cy="280205"/>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10350500" y="381000"/>
          <a:ext cx="80881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bg1"/>
              </a:solidFill>
            </a:rPr>
            <a:t>Transport</a:t>
          </a:r>
        </a:p>
      </xdr:txBody>
    </xdr:sp>
    <xdr:clientData/>
  </xdr:oneCellAnchor>
  <xdr:twoCellAnchor editAs="oneCell">
    <xdr:from>
      <xdr:col>17</xdr:col>
      <xdr:colOff>81642</xdr:colOff>
      <xdr:row>0</xdr:row>
      <xdr:rowOff>0</xdr:rowOff>
    </xdr:from>
    <xdr:to>
      <xdr:col>17</xdr:col>
      <xdr:colOff>526142</xdr:colOff>
      <xdr:row>0</xdr:row>
      <xdr:rowOff>444500</xdr:rowOff>
    </xdr:to>
    <xdr:pic>
      <xdr:nvPicPr>
        <xdr:cNvPr id="51" name="Graphic 50" descr="Fork and knife with solid fill">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73642" y="0"/>
          <a:ext cx="444500" cy="444500"/>
        </a:xfrm>
        <a:prstGeom prst="rect">
          <a:avLst/>
        </a:prstGeom>
      </xdr:spPr>
    </xdr:pic>
    <xdr:clientData/>
  </xdr:twoCellAnchor>
  <xdr:oneCellAnchor>
    <xdr:from>
      <xdr:col>17</xdr:col>
      <xdr:colOff>7257</xdr:colOff>
      <xdr:row>0</xdr:row>
      <xdr:rowOff>370114</xdr:rowOff>
    </xdr:from>
    <xdr:ext cx="870175" cy="280205"/>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12199257" y="370114"/>
          <a:ext cx="87017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bg1"/>
              </a:solidFill>
            </a:rPr>
            <a:t>Dining Out</a:t>
          </a:r>
        </a:p>
      </xdr:txBody>
    </xdr:sp>
    <xdr:clientData/>
  </xdr:oneCellAnchor>
  <xdr:twoCellAnchor editAs="oneCell">
    <xdr:from>
      <xdr:col>20</xdr:col>
      <xdr:colOff>54426</xdr:colOff>
      <xdr:row>0</xdr:row>
      <xdr:rowOff>0</xdr:rowOff>
    </xdr:from>
    <xdr:to>
      <xdr:col>20</xdr:col>
      <xdr:colOff>580569</xdr:colOff>
      <xdr:row>0</xdr:row>
      <xdr:rowOff>526143</xdr:rowOff>
    </xdr:to>
    <xdr:pic>
      <xdr:nvPicPr>
        <xdr:cNvPr id="56" name="Graphic 55" descr="Heart with pulse with solid fill">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4069783" y="0"/>
          <a:ext cx="526143" cy="526143"/>
        </a:xfrm>
        <a:prstGeom prst="rect">
          <a:avLst/>
        </a:prstGeom>
      </xdr:spPr>
    </xdr:pic>
    <xdr:clientData/>
  </xdr:twoCellAnchor>
  <xdr:twoCellAnchor editAs="oneCell">
    <xdr:from>
      <xdr:col>23</xdr:col>
      <xdr:colOff>36287</xdr:colOff>
      <xdr:row>0</xdr:row>
      <xdr:rowOff>0</xdr:rowOff>
    </xdr:from>
    <xdr:to>
      <xdr:col>23</xdr:col>
      <xdr:colOff>553358</xdr:colOff>
      <xdr:row>0</xdr:row>
      <xdr:rowOff>517071</xdr:rowOff>
    </xdr:to>
    <xdr:pic>
      <xdr:nvPicPr>
        <xdr:cNvPr id="58" name="Graphic 57" descr="Open hand with plant with solid fill">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5875001" y="0"/>
          <a:ext cx="517071" cy="517071"/>
        </a:xfrm>
        <a:prstGeom prst="rect">
          <a:avLst/>
        </a:prstGeom>
      </xdr:spPr>
    </xdr:pic>
    <xdr:clientData/>
  </xdr:twoCellAnchor>
  <xdr:oneCellAnchor>
    <xdr:from>
      <xdr:col>20</xdr:col>
      <xdr:colOff>32653</xdr:colOff>
      <xdr:row>0</xdr:row>
      <xdr:rowOff>377372</xdr:rowOff>
    </xdr:from>
    <xdr:ext cx="695127" cy="280205"/>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14048010" y="377372"/>
          <a:ext cx="69512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bg1"/>
              </a:solidFill>
            </a:rPr>
            <a:t>Medical</a:t>
          </a:r>
        </a:p>
      </xdr:txBody>
    </xdr:sp>
    <xdr:clientData/>
  </xdr:oneCellAnchor>
  <xdr:oneCellAnchor>
    <xdr:from>
      <xdr:col>22</xdr:col>
      <xdr:colOff>547910</xdr:colOff>
      <xdr:row>0</xdr:row>
      <xdr:rowOff>375557</xdr:rowOff>
    </xdr:from>
    <xdr:ext cx="643381" cy="280205"/>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15778839" y="375557"/>
          <a:ext cx="64338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bg1"/>
              </a:solidFill>
            </a:rPr>
            <a:t>Charity</a:t>
          </a:r>
        </a:p>
      </xdr:txBody>
    </xdr:sp>
    <xdr:clientData/>
  </xdr:oneCellAnchor>
  <xdr:twoCellAnchor>
    <xdr:from>
      <xdr:col>6</xdr:col>
      <xdr:colOff>526141</xdr:colOff>
      <xdr:row>0</xdr:row>
      <xdr:rowOff>625931</xdr:rowOff>
    </xdr:from>
    <xdr:to>
      <xdr:col>12</xdr:col>
      <xdr:colOff>45355</xdr:colOff>
      <xdr:row>22</xdr:row>
      <xdr:rowOff>9072</xdr:rowOff>
    </xdr:to>
    <xdr:graphicFrame macro="">
      <xdr:nvGraphicFramePr>
        <xdr:cNvPr id="61" name="Chart 60">
          <a:extLst>
            <a:ext uri="{FF2B5EF4-FFF2-40B4-BE49-F238E27FC236}">
              <a16:creationId xmlns:a16="http://schemas.microsoft.com/office/drawing/2014/main" id="{00000000-0008-0000-01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172358</xdr:colOff>
      <xdr:row>2</xdr:row>
      <xdr:rowOff>154216</xdr:rowOff>
    </xdr:from>
    <xdr:to>
      <xdr:col>7</xdr:col>
      <xdr:colOff>171480</xdr:colOff>
      <xdr:row>22</xdr:row>
      <xdr:rowOff>37428</xdr:rowOff>
    </xdr:to>
    <xdr:graphicFrame macro="">
      <xdr:nvGraphicFramePr>
        <xdr:cNvPr id="62" name="Chart 61">
          <a:extLst>
            <a:ext uri="{FF2B5EF4-FFF2-40B4-BE49-F238E27FC236}">
              <a16:creationId xmlns:a16="http://schemas.microsoft.com/office/drawing/2014/main" id="{00000000-0008-0000-01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154215</xdr:colOff>
      <xdr:row>23</xdr:row>
      <xdr:rowOff>99791</xdr:rowOff>
    </xdr:from>
    <xdr:to>
      <xdr:col>7</xdr:col>
      <xdr:colOff>153336</xdr:colOff>
      <xdr:row>39</xdr:row>
      <xdr:rowOff>50491</xdr:rowOff>
    </xdr:to>
    <xdr:graphicFrame macro="">
      <xdr:nvGraphicFramePr>
        <xdr:cNvPr id="63" name="Chart 62">
          <a:extLst>
            <a:ext uri="{FF2B5EF4-FFF2-40B4-BE49-F238E27FC236}">
              <a16:creationId xmlns:a16="http://schemas.microsoft.com/office/drawing/2014/main" id="{00000000-0008-0000-01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oneCellAnchor>
    <xdr:from>
      <xdr:col>1</xdr:col>
      <xdr:colOff>183896</xdr:colOff>
      <xdr:row>2</xdr:row>
      <xdr:rowOff>136073</xdr:rowOff>
    </xdr:from>
    <xdr:ext cx="887679" cy="342786"/>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795805" y="909618"/>
          <a:ext cx="887679"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t>Expense</a:t>
          </a:r>
        </a:p>
      </xdr:txBody>
    </xdr:sp>
    <xdr:clientData/>
  </xdr:oneCellAnchor>
  <xdr:oneCellAnchor>
    <xdr:from>
      <xdr:col>1</xdr:col>
      <xdr:colOff>152396</xdr:colOff>
      <xdr:row>23</xdr:row>
      <xdr:rowOff>61685</xdr:rowOff>
    </xdr:from>
    <xdr:ext cx="663580" cy="342786"/>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760182" y="4642756"/>
          <a:ext cx="6635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t>Profit</a:t>
          </a:r>
        </a:p>
      </xdr:txBody>
    </xdr:sp>
    <xdr:clientData/>
  </xdr:oneCellAnchor>
  <xdr:twoCellAnchor>
    <xdr:from>
      <xdr:col>7</xdr:col>
      <xdr:colOff>288684</xdr:colOff>
      <xdr:row>21</xdr:row>
      <xdr:rowOff>134836</xdr:rowOff>
    </xdr:from>
    <xdr:to>
      <xdr:col>15</xdr:col>
      <xdr:colOff>327242</xdr:colOff>
      <xdr:row>40</xdr:row>
      <xdr:rowOff>36285</xdr:rowOff>
    </xdr:to>
    <xdr:sp macro="" textlink="">
      <xdr:nvSpPr>
        <xdr:cNvPr id="67" name="Rectangle: Rounded Corners 66">
          <a:extLst>
            <a:ext uri="{FF2B5EF4-FFF2-40B4-BE49-F238E27FC236}">
              <a16:creationId xmlns:a16="http://schemas.microsoft.com/office/drawing/2014/main" id="{00000000-0008-0000-0100-000043000000}"/>
            </a:ext>
          </a:extLst>
        </xdr:cNvPr>
        <xdr:cNvSpPr/>
      </xdr:nvSpPr>
      <xdr:spPr>
        <a:xfrm>
          <a:off x="4543184" y="4353050"/>
          <a:ext cx="5390701" cy="3784021"/>
        </a:xfrm>
        <a:prstGeom prst="roundRect">
          <a:avLst>
            <a:gd name="adj" fmla="val 3645"/>
          </a:avLst>
        </a:prstGeom>
        <a:solidFill>
          <a:schemeClr val="accent5">
            <a:lumMod val="20000"/>
            <a:lumOff val="80000"/>
          </a:schemeClr>
        </a:solidFill>
        <a:ln>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xdr:col>
      <xdr:colOff>362857</xdr:colOff>
      <xdr:row>22</xdr:row>
      <xdr:rowOff>36286</xdr:rowOff>
    </xdr:from>
    <xdr:to>
      <xdr:col>15</xdr:col>
      <xdr:colOff>290286</xdr:colOff>
      <xdr:row>39</xdr:row>
      <xdr:rowOff>136071</xdr:rowOff>
    </xdr:to>
    <xdr:graphicFrame macro="">
      <xdr:nvGraphicFramePr>
        <xdr:cNvPr id="68" name="Chart 67">
          <a:extLst>
            <a:ext uri="{FF2B5EF4-FFF2-40B4-BE49-F238E27FC236}">
              <a16:creationId xmlns:a16="http://schemas.microsoft.com/office/drawing/2014/main" id="{00000000-0008-0000-01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426357</xdr:colOff>
      <xdr:row>2</xdr:row>
      <xdr:rowOff>81644</xdr:rowOff>
    </xdr:from>
    <xdr:to>
      <xdr:col>26</xdr:col>
      <xdr:colOff>181429</xdr:colOff>
      <xdr:row>21</xdr:row>
      <xdr:rowOff>127001</xdr:rowOff>
    </xdr:to>
    <mc:AlternateContent xmlns:mc="http://schemas.openxmlformats.org/markup-compatibility/2006">
      <mc:Choice xmlns:cx1="http://schemas.microsoft.com/office/drawing/2015/9/8/chartex" Requires="cx1">
        <xdr:graphicFrame macro="">
          <xdr:nvGraphicFramePr>
            <xdr:cNvPr id="69" name="Chart 68">
              <a:extLst>
                <a:ext uri="{FF2B5EF4-FFF2-40B4-BE49-F238E27FC236}">
                  <a16:creationId xmlns:a16="http://schemas.microsoft.com/office/drawing/2014/main" id="{00000000-0008-0000-0100-00004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10033000" y="852715"/>
              <a:ext cx="7003143" cy="34925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426358</xdr:colOff>
      <xdr:row>23</xdr:row>
      <xdr:rowOff>127000</xdr:rowOff>
    </xdr:from>
    <xdr:to>
      <xdr:col>26</xdr:col>
      <xdr:colOff>163286</xdr:colOff>
      <xdr:row>38</xdr:row>
      <xdr:rowOff>136345</xdr:rowOff>
    </xdr:to>
    <mc:AlternateContent xmlns:mc="http://schemas.openxmlformats.org/markup-compatibility/2006">
      <mc:Choice xmlns:cx1="http://schemas.microsoft.com/office/drawing/2015/9/8/chartex" Requires="cx1">
        <xdr:graphicFrame macro="">
          <xdr:nvGraphicFramePr>
            <xdr:cNvPr id="70" name="Chart 69">
              <a:extLst>
                <a:ext uri="{FF2B5EF4-FFF2-40B4-BE49-F238E27FC236}">
                  <a16:creationId xmlns:a16="http://schemas.microsoft.com/office/drawing/2014/main" id="{00000000-0008-0000-0100-00004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0033001" y="4708071"/>
              <a:ext cx="6984999" cy="316620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517071</xdr:colOff>
      <xdr:row>2</xdr:row>
      <xdr:rowOff>81646</xdr:rowOff>
    </xdr:from>
    <xdr:to>
      <xdr:col>15</xdr:col>
      <xdr:colOff>317500</xdr:colOff>
      <xdr:row>21</xdr:row>
      <xdr:rowOff>72572</xdr:rowOff>
    </xdr:to>
    <xdr:grpSp>
      <xdr:nvGrpSpPr>
        <xdr:cNvPr id="2" name="Group 1">
          <a:extLst>
            <a:ext uri="{FF2B5EF4-FFF2-40B4-BE49-F238E27FC236}">
              <a16:creationId xmlns:a16="http://schemas.microsoft.com/office/drawing/2014/main" id="{F01FEFE2-6CD5-4BCD-862C-8BC189A92246}"/>
            </a:ext>
          </a:extLst>
        </xdr:cNvPr>
        <xdr:cNvGrpSpPr/>
      </xdr:nvGrpSpPr>
      <xdr:grpSpPr>
        <a:xfrm>
          <a:off x="7493000" y="852717"/>
          <a:ext cx="2431143" cy="3438069"/>
          <a:chOff x="8545287" y="1496785"/>
          <a:chExt cx="3651245" cy="2524126"/>
        </a:xfrm>
      </xdr:grpSpPr>
      <mc:AlternateContent xmlns:mc="http://schemas.openxmlformats.org/markup-compatibility/2006">
        <mc:Choice xmlns:a14="http://schemas.microsoft.com/office/drawing/2010/main" Requires="a14">
          <xdr:graphicFrame macro="">
            <xdr:nvGraphicFramePr>
              <xdr:cNvPr id="30" name="Date">
                <a:extLst>
                  <a:ext uri="{FF2B5EF4-FFF2-40B4-BE49-F238E27FC236}">
                    <a16:creationId xmlns:a16="http://schemas.microsoft.com/office/drawing/2014/main" id="{0FB8BC45-E026-4E41-B823-1FB4AD82F538}"/>
                  </a:ext>
                </a:extLst>
              </xdr:cNvPr>
              <xdr:cNvGraphicFramePr/>
            </xdr:nvGraphicFramePr>
            <xdr:xfrm>
              <a:off x="8545287" y="1496786"/>
              <a:ext cx="1510403" cy="2524125"/>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7493000" y="852718"/>
                <a:ext cx="1005686" cy="34380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1" name="Category">
                <a:extLst>
                  <a:ext uri="{FF2B5EF4-FFF2-40B4-BE49-F238E27FC236}">
                    <a16:creationId xmlns:a16="http://schemas.microsoft.com/office/drawing/2014/main" id="{6DBC4260-BB24-4161-AA75-BDF523491704}"/>
                  </a:ext>
                </a:extLst>
              </xdr:cNvPr>
              <xdr:cNvGraphicFramePr/>
            </xdr:nvGraphicFramePr>
            <xdr:xfrm>
              <a:off x="10095092" y="1496785"/>
              <a:ext cx="2101440" cy="2524125"/>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8524921" y="852717"/>
                <a:ext cx="1399222" cy="34380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_Finance_Dashboard_dl.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365moth-my.sharepoint.com/personal/website_myonlinetraininghub_com/Documents/Blog%20Posts/Excel%20Dashboard%20Share%20Portfolio/excel_share_portfolio_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Dashboard"/>
      <sheetName val="Analysis"/>
      <sheetName val="Transactions"/>
      <sheetName val="Data Validation"/>
      <sheetName val="Nov Data"/>
      <sheetName val="More Resources"/>
      <sheetName val="Personal_Finance_Dashboard_dl"/>
    </sheetNames>
    <sheetDataSet>
      <sheetData sheetId="0" refreshError="1"/>
      <sheetData sheetId="1" refreshError="1"/>
      <sheetData sheetId="2" refreshError="1"/>
      <sheetData sheetId="3"/>
      <sheetData sheetId="4"/>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Dashboard"/>
      <sheetName val="Ledger"/>
      <sheetName val="Watch List"/>
      <sheetName val="ASB"/>
      <sheetName val="BLD"/>
      <sheetName val="More Resources"/>
    </sheetNames>
    <sheetDataSet>
      <sheetData sheetId="0" refreshError="1"/>
      <sheetData sheetId="1" refreshError="1"/>
      <sheetData sheetId="2" refreshError="1"/>
      <sheetData sheetId="3">
        <row r="5">
          <cell r="J5" t="str">
            <v>XASX</v>
          </cell>
          <cell r="K5" t="str">
            <v>ASB</v>
          </cell>
        </row>
      </sheetData>
      <sheetData sheetId="4" refreshError="1"/>
      <sheetData sheetId="5" refreshError="1"/>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071.599739814817" createdVersion="7" refreshedVersion="7" minRefreshableVersion="3" recordCount="486" xr:uid="{865FF15E-E9C1-43D9-A240-91F1CF00E6E0}">
  <cacheSource type="worksheet">
    <worksheetSource name="Transactions"/>
  </cacheSource>
  <cacheFields count="10">
    <cacheField name="Account" numFmtId="0">
      <sharedItems count="2">
        <s v="Checking"/>
        <s v="Credit"/>
      </sharedItems>
    </cacheField>
    <cacheField name="Date" numFmtId="14">
      <sharedItems containsSemiMixedTypes="0" containsNonDate="0" containsDate="1" containsString="0" minDate="2021-01-04T00:00:00" maxDate="2021-11-01T00:00:00" count="272">
        <d v="2021-01-04T00:00:00"/>
        <d v="2021-01-05T00:00:00"/>
        <d v="2021-01-06T00:00:00"/>
        <d v="2021-01-07T00:00:00"/>
        <d v="2021-01-08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2T00:00:00"/>
        <d v="2021-05-03T00:00:00"/>
        <d v="2021-05-04T00:00:00"/>
        <d v="2021-05-05T00:00:00"/>
        <d v="2021-05-06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1T00:00:00"/>
        <d v="2021-05-30T00:00:00"/>
        <d v="2021-06-01T00:00:00"/>
        <d v="2021-06-03T00:00:00"/>
        <d v="2021-06-04T00:00:00"/>
        <d v="2021-06-05T00:00:00"/>
        <d v="2021-06-06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5T00:00:00"/>
        <d v="2021-07-06T00:00:00"/>
        <d v="2021-07-07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2T00:00:00"/>
        <d v="2021-08-03T00:00:00"/>
        <d v="2021-08-05T00:00:00"/>
        <d v="2021-08-06T00:00:00"/>
        <d v="2021-08-07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2T00:00:00"/>
        <d v="2021-09-03T00:00:00"/>
        <d v="2021-09-05T00:00:00"/>
        <d v="2021-09-06T00:00:00"/>
        <d v="2021-09-07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3T00:00:00"/>
        <d v="2021-10-04T00:00:00"/>
        <d v="2021-10-06T00:00:00"/>
        <d v="2021-10-07T00:00:00"/>
        <d v="2021-10-08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sharedItems>
      <fieldGroup base="1">
        <rangePr groupBy="months" startDate="2021-01-04T00:00:00" endDate="2021-11-01T00:00:00"/>
        <groupItems count="14">
          <s v="&lt;1/4/2021"/>
          <s v="Jan"/>
          <s v="Feb"/>
          <s v="Mar"/>
          <s v="Apr"/>
          <s v="May"/>
          <s v="Jun"/>
          <s v="Jul"/>
          <s v="Aug"/>
          <s v="Sep"/>
          <s v="Oct"/>
          <s v="Nov"/>
          <s v="Dec"/>
          <s v="&gt;11/1/2021"/>
        </groupItems>
      </fieldGroup>
    </cacheField>
    <cacheField name="Debit" numFmtId="0">
      <sharedItems containsString="0" containsBlank="1" containsNumber="1" minValue="5" maxValue="900"/>
    </cacheField>
    <cacheField name="Credit" numFmtId="0">
      <sharedItems containsString="0" containsBlank="1" containsNumber="1" containsInteger="1" minValue="4000" maxValue="4000"/>
    </cacheField>
    <cacheField name="Amount" numFmtId="0">
      <sharedItems containsSemiMixedTypes="0" containsString="0" containsNumber="1" minValue="-900" maxValue="4000"/>
    </cacheField>
    <cacheField name="Sub-category" numFmtId="0">
      <sharedItems count="18">
        <s v="Salary"/>
        <s v="Coffee"/>
        <s v="Rent"/>
        <s v="MV Loan"/>
        <s v="Groceries"/>
        <s v="Gas/Electrics"/>
        <s v="MV Fuel"/>
        <s v="Entertainment"/>
        <s v="Clothes"/>
        <s v="Restaurant"/>
        <s v="Taxi"/>
        <s v="Gym"/>
        <s v="Dentist"/>
        <s v="Phone"/>
        <s v="Gifts"/>
        <s v="Donation"/>
        <s v="Doctor"/>
        <s v="Furnishings"/>
      </sharedItems>
    </cacheField>
    <cacheField name="Category" numFmtId="0">
      <sharedItems count="7">
        <s v="Salary"/>
        <s v="Dining Out"/>
        <s v="Living Expenses"/>
        <s v="Transport"/>
        <s v="Discretionary"/>
        <s v="Medical"/>
        <s v="Charity"/>
      </sharedItems>
    </cacheField>
    <cacheField name="Category Type" numFmtId="0">
      <sharedItems count="2">
        <s v="Income"/>
        <s v="Expense"/>
      </sharedItems>
    </cacheField>
    <cacheField name="Description" numFmtId="0">
      <sharedItems/>
    </cacheField>
    <cacheField name="Profit" numFmtId="0" formula="Credit-Debit" databaseField="0"/>
  </cacheFields>
  <extLst>
    <ext xmlns:x14="http://schemas.microsoft.com/office/spreadsheetml/2009/9/main" uri="{725AE2AE-9491-48be-B2B4-4EB974FC3084}">
      <x14:pivotCacheDefinition pivotCacheId="16525966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6">
  <r>
    <x v="0"/>
    <x v="0"/>
    <m/>
    <n v="4000"/>
    <n v="4000"/>
    <x v="0"/>
    <x v="0"/>
    <x v="0"/>
    <s v="ACME Pty Ltd"/>
  </r>
  <r>
    <x v="1"/>
    <x v="0"/>
    <n v="5"/>
    <m/>
    <n v="-5"/>
    <x v="1"/>
    <x v="1"/>
    <x v="1"/>
    <s v="Ground"/>
  </r>
  <r>
    <x v="0"/>
    <x v="1"/>
    <n v="900"/>
    <m/>
    <n v="-900"/>
    <x v="2"/>
    <x v="2"/>
    <x v="1"/>
    <s v="Estate Mgt."/>
  </r>
  <r>
    <x v="0"/>
    <x v="1"/>
    <n v="150"/>
    <m/>
    <n v="-150"/>
    <x v="3"/>
    <x v="3"/>
    <x v="1"/>
    <s v="Finance Co."/>
  </r>
  <r>
    <x v="1"/>
    <x v="1"/>
    <n v="5"/>
    <m/>
    <n v="-5"/>
    <x v="1"/>
    <x v="1"/>
    <x v="1"/>
    <s v="Ground"/>
  </r>
  <r>
    <x v="1"/>
    <x v="2"/>
    <n v="5"/>
    <m/>
    <n v="-5"/>
    <x v="1"/>
    <x v="1"/>
    <x v="1"/>
    <s v="Ground"/>
  </r>
  <r>
    <x v="1"/>
    <x v="3"/>
    <n v="5"/>
    <m/>
    <n v="-5"/>
    <x v="1"/>
    <x v="1"/>
    <x v="1"/>
    <s v="Ground"/>
  </r>
  <r>
    <x v="1"/>
    <x v="4"/>
    <n v="5"/>
    <m/>
    <n v="-5"/>
    <x v="1"/>
    <x v="1"/>
    <x v="1"/>
    <s v="Ground"/>
  </r>
  <r>
    <x v="1"/>
    <x v="4"/>
    <n v="155"/>
    <m/>
    <n v="-155"/>
    <x v="4"/>
    <x v="2"/>
    <x v="1"/>
    <s v="Green's"/>
  </r>
  <r>
    <x v="0"/>
    <x v="5"/>
    <n v="50"/>
    <m/>
    <n v="-50"/>
    <x v="5"/>
    <x v="2"/>
    <x v="1"/>
    <s v="Elec. Co."/>
  </r>
  <r>
    <x v="1"/>
    <x v="5"/>
    <n v="5"/>
    <m/>
    <n v="-5"/>
    <x v="1"/>
    <x v="1"/>
    <x v="1"/>
    <s v="Ground"/>
  </r>
  <r>
    <x v="1"/>
    <x v="6"/>
    <n v="5"/>
    <m/>
    <n v="-5"/>
    <x v="1"/>
    <x v="1"/>
    <x v="1"/>
    <s v="Ground"/>
  </r>
  <r>
    <x v="1"/>
    <x v="7"/>
    <n v="77"/>
    <m/>
    <n v="-77"/>
    <x v="6"/>
    <x v="3"/>
    <x v="1"/>
    <s v="Fuel. Co"/>
  </r>
  <r>
    <x v="1"/>
    <x v="7"/>
    <n v="5"/>
    <m/>
    <n v="-5"/>
    <x v="1"/>
    <x v="1"/>
    <x v="1"/>
    <s v="Ground"/>
  </r>
  <r>
    <x v="1"/>
    <x v="8"/>
    <n v="5"/>
    <m/>
    <n v="-5"/>
    <x v="1"/>
    <x v="1"/>
    <x v="1"/>
    <s v="Ground"/>
  </r>
  <r>
    <x v="1"/>
    <x v="9"/>
    <n v="135"/>
    <m/>
    <n v="-135"/>
    <x v="4"/>
    <x v="2"/>
    <x v="1"/>
    <s v="Green's"/>
  </r>
  <r>
    <x v="1"/>
    <x v="9"/>
    <n v="5"/>
    <m/>
    <n v="-5"/>
    <x v="1"/>
    <x v="1"/>
    <x v="1"/>
    <s v="Ground"/>
  </r>
  <r>
    <x v="1"/>
    <x v="10"/>
    <n v="5"/>
    <m/>
    <n v="-5"/>
    <x v="1"/>
    <x v="1"/>
    <x v="1"/>
    <s v="Ground"/>
  </r>
  <r>
    <x v="1"/>
    <x v="10"/>
    <n v="40"/>
    <m/>
    <n v="-40"/>
    <x v="7"/>
    <x v="4"/>
    <x v="1"/>
    <s v="Event Cinemas"/>
  </r>
  <r>
    <x v="1"/>
    <x v="10"/>
    <n v="98"/>
    <m/>
    <n v="-98"/>
    <x v="8"/>
    <x v="4"/>
    <x v="1"/>
    <s v="Fashionistas"/>
  </r>
  <r>
    <x v="1"/>
    <x v="10"/>
    <n v="52"/>
    <m/>
    <n v="-52"/>
    <x v="9"/>
    <x v="1"/>
    <x v="1"/>
    <s v="Joe's Grill"/>
  </r>
  <r>
    <x v="1"/>
    <x v="11"/>
    <n v="28"/>
    <m/>
    <n v="-28"/>
    <x v="10"/>
    <x v="3"/>
    <x v="1"/>
    <s v="Taxi Co."/>
  </r>
  <r>
    <x v="0"/>
    <x v="12"/>
    <n v="30"/>
    <m/>
    <n v="-30"/>
    <x v="11"/>
    <x v="4"/>
    <x v="1"/>
    <s v="Muscle Beach"/>
  </r>
  <r>
    <x v="1"/>
    <x v="12"/>
    <n v="5"/>
    <m/>
    <n v="-5"/>
    <x v="1"/>
    <x v="1"/>
    <x v="1"/>
    <s v="Ground"/>
  </r>
  <r>
    <x v="1"/>
    <x v="13"/>
    <n v="5"/>
    <m/>
    <n v="-5"/>
    <x v="1"/>
    <x v="1"/>
    <x v="1"/>
    <s v="Ground"/>
  </r>
  <r>
    <x v="0"/>
    <x v="13"/>
    <n v="154"/>
    <m/>
    <n v="-154"/>
    <x v="12"/>
    <x v="5"/>
    <x v="1"/>
    <s v="Smile Dental"/>
  </r>
  <r>
    <x v="0"/>
    <x v="13"/>
    <n v="40"/>
    <m/>
    <n v="-40"/>
    <x v="13"/>
    <x v="2"/>
    <x v="1"/>
    <s v="Phone Co."/>
  </r>
  <r>
    <x v="1"/>
    <x v="14"/>
    <n v="45"/>
    <m/>
    <n v="-45"/>
    <x v="14"/>
    <x v="4"/>
    <x v="1"/>
    <s v="Sam's Gifts"/>
  </r>
  <r>
    <x v="1"/>
    <x v="14"/>
    <n v="32"/>
    <m/>
    <n v="-32"/>
    <x v="7"/>
    <x v="4"/>
    <x v="1"/>
    <s v="Streaming Co."/>
  </r>
  <r>
    <x v="1"/>
    <x v="14"/>
    <n v="5"/>
    <m/>
    <n v="-5"/>
    <x v="1"/>
    <x v="1"/>
    <x v="1"/>
    <s v="Ground"/>
  </r>
  <r>
    <x v="1"/>
    <x v="15"/>
    <n v="5"/>
    <m/>
    <n v="-5"/>
    <x v="1"/>
    <x v="1"/>
    <x v="1"/>
    <s v="Ground"/>
  </r>
  <r>
    <x v="1"/>
    <x v="16"/>
    <n v="5"/>
    <m/>
    <n v="-5"/>
    <x v="1"/>
    <x v="1"/>
    <x v="1"/>
    <s v="Ground"/>
  </r>
  <r>
    <x v="1"/>
    <x v="16"/>
    <n v="170"/>
    <m/>
    <n v="-170"/>
    <x v="4"/>
    <x v="2"/>
    <x v="1"/>
    <s v="Green's"/>
  </r>
  <r>
    <x v="1"/>
    <x v="17"/>
    <n v="37"/>
    <m/>
    <n v="-37"/>
    <x v="9"/>
    <x v="1"/>
    <x v="1"/>
    <s v="Pizza Pomodoro"/>
  </r>
  <r>
    <x v="1"/>
    <x v="18"/>
    <n v="12"/>
    <m/>
    <n v="-12"/>
    <x v="9"/>
    <x v="1"/>
    <x v="1"/>
    <s v="Golden Arches"/>
  </r>
  <r>
    <x v="0"/>
    <x v="19"/>
    <n v="55"/>
    <m/>
    <n v="-55"/>
    <x v="15"/>
    <x v="6"/>
    <x v="1"/>
    <s v="Worldvision"/>
  </r>
  <r>
    <x v="1"/>
    <x v="19"/>
    <n v="63"/>
    <m/>
    <n v="-63"/>
    <x v="6"/>
    <x v="3"/>
    <x v="1"/>
    <s v="Fuel. Co"/>
  </r>
  <r>
    <x v="1"/>
    <x v="19"/>
    <n v="5"/>
    <m/>
    <n v="-5"/>
    <x v="1"/>
    <x v="1"/>
    <x v="1"/>
    <s v="Ground"/>
  </r>
  <r>
    <x v="1"/>
    <x v="20"/>
    <n v="5"/>
    <m/>
    <n v="-5"/>
    <x v="1"/>
    <x v="1"/>
    <x v="1"/>
    <s v="Ground"/>
  </r>
  <r>
    <x v="1"/>
    <x v="21"/>
    <n v="5"/>
    <m/>
    <n v="-5"/>
    <x v="1"/>
    <x v="1"/>
    <x v="1"/>
    <s v="Ground"/>
  </r>
  <r>
    <x v="1"/>
    <x v="22"/>
    <n v="5"/>
    <m/>
    <n v="-5"/>
    <x v="1"/>
    <x v="1"/>
    <x v="1"/>
    <s v="Ground"/>
  </r>
  <r>
    <x v="1"/>
    <x v="23"/>
    <n v="5"/>
    <m/>
    <n v="-5"/>
    <x v="1"/>
    <x v="1"/>
    <x v="1"/>
    <s v="Ground"/>
  </r>
  <r>
    <x v="1"/>
    <x v="23"/>
    <n v="162"/>
    <m/>
    <n v="-162"/>
    <x v="4"/>
    <x v="2"/>
    <x v="1"/>
    <s v="Green's"/>
  </r>
  <r>
    <x v="1"/>
    <x v="24"/>
    <n v="125"/>
    <m/>
    <n v="-125"/>
    <x v="8"/>
    <x v="4"/>
    <x v="1"/>
    <s v="Ted's Trainers"/>
  </r>
  <r>
    <x v="1"/>
    <x v="24"/>
    <n v="175"/>
    <m/>
    <n v="-175"/>
    <x v="7"/>
    <x v="4"/>
    <x v="1"/>
    <s v="Ticketek"/>
  </r>
  <r>
    <x v="1"/>
    <x v="25"/>
    <n v="145"/>
    <m/>
    <n v="-145"/>
    <x v="8"/>
    <x v="4"/>
    <x v="1"/>
    <s v="Fashionistas"/>
  </r>
  <r>
    <x v="1"/>
    <x v="25"/>
    <n v="23"/>
    <m/>
    <n v="-23"/>
    <x v="10"/>
    <x v="3"/>
    <x v="1"/>
    <s v="Taxi Co."/>
  </r>
  <r>
    <x v="0"/>
    <x v="26"/>
    <m/>
    <n v="4000"/>
    <n v="4000"/>
    <x v="0"/>
    <x v="0"/>
    <x v="0"/>
    <s v="ACME Pty Ltd"/>
  </r>
  <r>
    <x v="1"/>
    <x v="26"/>
    <n v="5"/>
    <m/>
    <n v="-5"/>
    <x v="1"/>
    <x v="1"/>
    <x v="1"/>
    <s v="Ground"/>
  </r>
  <r>
    <x v="0"/>
    <x v="27"/>
    <n v="900"/>
    <m/>
    <n v="-900"/>
    <x v="2"/>
    <x v="2"/>
    <x v="1"/>
    <s v="Estate Mgt."/>
  </r>
  <r>
    <x v="0"/>
    <x v="27"/>
    <n v="150"/>
    <m/>
    <n v="-150"/>
    <x v="3"/>
    <x v="3"/>
    <x v="1"/>
    <s v="Finance Co."/>
  </r>
  <r>
    <x v="1"/>
    <x v="27"/>
    <n v="5"/>
    <m/>
    <n v="-5"/>
    <x v="1"/>
    <x v="1"/>
    <x v="1"/>
    <s v="Ground"/>
  </r>
  <r>
    <x v="1"/>
    <x v="28"/>
    <n v="5"/>
    <m/>
    <n v="-5"/>
    <x v="1"/>
    <x v="1"/>
    <x v="1"/>
    <s v="Ground"/>
  </r>
  <r>
    <x v="1"/>
    <x v="29"/>
    <n v="5"/>
    <m/>
    <n v="-5"/>
    <x v="1"/>
    <x v="1"/>
    <x v="1"/>
    <s v="Ground"/>
  </r>
  <r>
    <x v="1"/>
    <x v="30"/>
    <n v="5"/>
    <m/>
    <n v="-5"/>
    <x v="1"/>
    <x v="1"/>
    <x v="1"/>
    <s v="Ground"/>
  </r>
  <r>
    <x v="1"/>
    <x v="30"/>
    <n v="205"/>
    <m/>
    <n v="-205"/>
    <x v="4"/>
    <x v="2"/>
    <x v="1"/>
    <s v="Green's"/>
  </r>
  <r>
    <x v="0"/>
    <x v="31"/>
    <n v="51.1"/>
    <m/>
    <n v="-51.1"/>
    <x v="5"/>
    <x v="2"/>
    <x v="1"/>
    <s v="Elec. Co."/>
  </r>
  <r>
    <x v="1"/>
    <x v="31"/>
    <n v="5"/>
    <m/>
    <n v="-5"/>
    <x v="1"/>
    <x v="1"/>
    <x v="1"/>
    <s v="Ground"/>
  </r>
  <r>
    <x v="1"/>
    <x v="32"/>
    <n v="5"/>
    <m/>
    <n v="-5"/>
    <x v="1"/>
    <x v="1"/>
    <x v="1"/>
    <s v="Ground"/>
  </r>
  <r>
    <x v="1"/>
    <x v="33"/>
    <n v="78"/>
    <m/>
    <n v="-78"/>
    <x v="6"/>
    <x v="3"/>
    <x v="1"/>
    <s v="Fuel. Co"/>
  </r>
  <r>
    <x v="1"/>
    <x v="33"/>
    <n v="5"/>
    <m/>
    <n v="-5"/>
    <x v="1"/>
    <x v="1"/>
    <x v="1"/>
    <s v="Ground"/>
  </r>
  <r>
    <x v="1"/>
    <x v="34"/>
    <n v="5"/>
    <m/>
    <n v="-5"/>
    <x v="1"/>
    <x v="1"/>
    <x v="1"/>
    <s v="Ground"/>
  </r>
  <r>
    <x v="1"/>
    <x v="35"/>
    <n v="135.9"/>
    <m/>
    <n v="-135.9"/>
    <x v="4"/>
    <x v="2"/>
    <x v="1"/>
    <s v="Green's"/>
  </r>
  <r>
    <x v="1"/>
    <x v="35"/>
    <n v="5"/>
    <m/>
    <n v="-5"/>
    <x v="1"/>
    <x v="1"/>
    <x v="1"/>
    <s v="Ground"/>
  </r>
  <r>
    <x v="1"/>
    <x v="36"/>
    <n v="5"/>
    <m/>
    <n v="-5"/>
    <x v="1"/>
    <x v="1"/>
    <x v="1"/>
    <s v="Ground"/>
  </r>
  <r>
    <x v="1"/>
    <x v="36"/>
    <n v="40.9"/>
    <m/>
    <n v="-40.9"/>
    <x v="7"/>
    <x v="4"/>
    <x v="1"/>
    <s v="Event Cinemas"/>
  </r>
  <r>
    <x v="1"/>
    <x v="36"/>
    <n v="99"/>
    <m/>
    <n v="-99"/>
    <x v="8"/>
    <x v="4"/>
    <x v="1"/>
    <s v="Fashionistas"/>
  </r>
  <r>
    <x v="1"/>
    <x v="36"/>
    <n v="53"/>
    <m/>
    <n v="-53"/>
    <x v="9"/>
    <x v="1"/>
    <x v="1"/>
    <s v="Joe's Grill"/>
  </r>
  <r>
    <x v="1"/>
    <x v="37"/>
    <n v="28.9"/>
    <m/>
    <n v="-28.9"/>
    <x v="10"/>
    <x v="3"/>
    <x v="1"/>
    <s v="Taxi Co."/>
  </r>
  <r>
    <x v="0"/>
    <x v="38"/>
    <n v="30"/>
    <m/>
    <n v="-30"/>
    <x v="11"/>
    <x v="4"/>
    <x v="1"/>
    <s v="Muscle Beach"/>
  </r>
  <r>
    <x v="1"/>
    <x v="38"/>
    <n v="5"/>
    <m/>
    <n v="-5"/>
    <x v="1"/>
    <x v="1"/>
    <x v="1"/>
    <s v="Ground"/>
  </r>
  <r>
    <x v="1"/>
    <x v="39"/>
    <n v="5"/>
    <m/>
    <n v="-5"/>
    <x v="1"/>
    <x v="1"/>
    <x v="1"/>
    <s v="Ground"/>
  </r>
  <r>
    <x v="0"/>
    <x v="39"/>
    <n v="40"/>
    <m/>
    <n v="-40"/>
    <x v="13"/>
    <x v="2"/>
    <x v="1"/>
    <s v="Phone Co."/>
  </r>
  <r>
    <x v="1"/>
    <x v="40"/>
    <n v="45.9"/>
    <m/>
    <n v="-45.9"/>
    <x v="14"/>
    <x v="4"/>
    <x v="1"/>
    <s v="Sam's Gifts"/>
  </r>
  <r>
    <x v="1"/>
    <x v="40"/>
    <n v="35"/>
    <m/>
    <n v="-35"/>
    <x v="7"/>
    <x v="4"/>
    <x v="1"/>
    <s v="Streaming Co."/>
  </r>
  <r>
    <x v="1"/>
    <x v="40"/>
    <n v="5"/>
    <m/>
    <n v="-5"/>
    <x v="1"/>
    <x v="1"/>
    <x v="1"/>
    <s v="Ground"/>
  </r>
  <r>
    <x v="1"/>
    <x v="41"/>
    <n v="5"/>
    <m/>
    <n v="-5"/>
    <x v="1"/>
    <x v="1"/>
    <x v="1"/>
    <s v="Ground"/>
  </r>
  <r>
    <x v="1"/>
    <x v="42"/>
    <n v="5"/>
    <m/>
    <n v="-5"/>
    <x v="1"/>
    <x v="1"/>
    <x v="1"/>
    <s v="Ground"/>
  </r>
  <r>
    <x v="1"/>
    <x v="42"/>
    <n v="171"/>
    <m/>
    <n v="-171"/>
    <x v="4"/>
    <x v="2"/>
    <x v="1"/>
    <s v="Green's"/>
  </r>
  <r>
    <x v="1"/>
    <x v="43"/>
    <n v="37.9"/>
    <m/>
    <n v="-37.9"/>
    <x v="9"/>
    <x v="1"/>
    <x v="1"/>
    <s v="Pizza Pomodoro"/>
  </r>
  <r>
    <x v="1"/>
    <x v="44"/>
    <n v="12.9"/>
    <m/>
    <n v="-12.9"/>
    <x v="9"/>
    <x v="1"/>
    <x v="1"/>
    <s v="Golden Arches"/>
  </r>
  <r>
    <x v="0"/>
    <x v="45"/>
    <n v="55"/>
    <m/>
    <n v="-55"/>
    <x v="15"/>
    <x v="6"/>
    <x v="1"/>
    <s v="Worldvision"/>
  </r>
  <r>
    <x v="1"/>
    <x v="45"/>
    <n v="64.099999999999994"/>
    <m/>
    <n v="-64.099999999999994"/>
    <x v="6"/>
    <x v="3"/>
    <x v="1"/>
    <s v="Fuel. Co"/>
  </r>
  <r>
    <x v="1"/>
    <x v="45"/>
    <n v="5"/>
    <m/>
    <n v="-5"/>
    <x v="1"/>
    <x v="1"/>
    <x v="1"/>
    <s v="Ground"/>
  </r>
  <r>
    <x v="1"/>
    <x v="46"/>
    <n v="5"/>
    <m/>
    <n v="-5"/>
    <x v="1"/>
    <x v="1"/>
    <x v="1"/>
    <s v="Ground"/>
  </r>
  <r>
    <x v="1"/>
    <x v="47"/>
    <n v="5"/>
    <m/>
    <n v="-5"/>
    <x v="1"/>
    <x v="1"/>
    <x v="1"/>
    <s v="Ground"/>
  </r>
  <r>
    <x v="1"/>
    <x v="48"/>
    <n v="5"/>
    <m/>
    <n v="-5"/>
    <x v="1"/>
    <x v="1"/>
    <x v="1"/>
    <s v="Ground"/>
  </r>
  <r>
    <x v="1"/>
    <x v="49"/>
    <n v="5"/>
    <m/>
    <n v="-5"/>
    <x v="1"/>
    <x v="1"/>
    <x v="1"/>
    <s v="Ground"/>
  </r>
  <r>
    <x v="1"/>
    <x v="49"/>
    <n v="162.9"/>
    <m/>
    <n v="-162.9"/>
    <x v="4"/>
    <x v="2"/>
    <x v="1"/>
    <s v="Green's"/>
  </r>
  <r>
    <x v="1"/>
    <x v="50"/>
    <n v="125.9"/>
    <m/>
    <n v="-125.9"/>
    <x v="8"/>
    <x v="4"/>
    <x v="1"/>
    <s v="Ted's Trainers"/>
  </r>
  <r>
    <x v="1"/>
    <x v="50"/>
    <n v="137"/>
    <m/>
    <n v="-137"/>
    <x v="8"/>
    <x v="4"/>
    <x v="1"/>
    <s v="Global Fashion"/>
  </r>
  <r>
    <x v="1"/>
    <x v="51"/>
    <n v="146.1"/>
    <m/>
    <n v="-146.1"/>
    <x v="8"/>
    <x v="4"/>
    <x v="1"/>
    <s v="Fashionistas"/>
  </r>
  <r>
    <x v="1"/>
    <x v="51"/>
    <n v="24.1"/>
    <m/>
    <n v="-24.1"/>
    <x v="10"/>
    <x v="3"/>
    <x v="1"/>
    <s v="Taxi Co."/>
  </r>
  <r>
    <x v="0"/>
    <x v="52"/>
    <m/>
    <n v="4000"/>
    <n v="4000"/>
    <x v="0"/>
    <x v="0"/>
    <x v="0"/>
    <s v="ACME Pty Ltd"/>
  </r>
  <r>
    <x v="1"/>
    <x v="52"/>
    <n v="5"/>
    <m/>
    <n v="-5"/>
    <x v="1"/>
    <x v="1"/>
    <x v="1"/>
    <s v="Ground"/>
  </r>
  <r>
    <x v="0"/>
    <x v="53"/>
    <n v="900"/>
    <m/>
    <n v="-900"/>
    <x v="2"/>
    <x v="2"/>
    <x v="1"/>
    <s v="Estate Mgt."/>
  </r>
  <r>
    <x v="0"/>
    <x v="53"/>
    <n v="150"/>
    <m/>
    <n v="-150"/>
    <x v="3"/>
    <x v="3"/>
    <x v="1"/>
    <s v="Finance Co."/>
  </r>
  <r>
    <x v="1"/>
    <x v="53"/>
    <n v="5"/>
    <m/>
    <n v="-5"/>
    <x v="1"/>
    <x v="1"/>
    <x v="1"/>
    <s v="Ground"/>
  </r>
  <r>
    <x v="1"/>
    <x v="54"/>
    <n v="5"/>
    <m/>
    <n v="-5"/>
    <x v="1"/>
    <x v="1"/>
    <x v="1"/>
    <s v="Ground"/>
  </r>
  <r>
    <x v="1"/>
    <x v="55"/>
    <n v="5"/>
    <m/>
    <n v="-5"/>
    <x v="1"/>
    <x v="1"/>
    <x v="1"/>
    <s v="Ground"/>
  </r>
  <r>
    <x v="1"/>
    <x v="56"/>
    <n v="5"/>
    <m/>
    <n v="-5"/>
    <x v="1"/>
    <x v="1"/>
    <x v="1"/>
    <s v="Ground"/>
  </r>
  <r>
    <x v="1"/>
    <x v="56"/>
    <n v="149"/>
    <m/>
    <n v="-149"/>
    <x v="4"/>
    <x v="2"/>
    <x v="1"/>
    <s v="Green's"/>
  </r>
  <r>
    <x v="0"/>
    <x v="57"/>
    <n v="52.1"/>
    <m/>
    <n v="-52.1"/>
    <x v="5"/>
    <x v="2"/>
    <x v="1"/>
    <s v="Elec. Co."/>
  </r>
  <r>
    <x v="1"/>
    <x v="57"/>
    <n v="5"/>
    <m/>
    <n v="-5"/>
    <x v="1"/>
    <x v="1"/>
    <x v="1"/>
    <s v="Ground"/>
  </r>
  <r>
    <x v="1"/>
    <x v="58"/>
    <n v="5"/>
    <m/>
    <n v="-5"/>
    <x v="1"/>
    <x v="1"/>
    <x v="1"/>
    <s v="Ground"/>
  </r>
  <r>
    <x v="1"/>
    <x v="59"/>
    <n v="78.900000000000006"/>
    <m/>
    <n v="-78.900000000000006"/>
    <x v="6"/>
    <x v="3"/>
    <x v="1"/>
    <s v="Fuel. Co"/>
  </r>
  <r>
    <x v="1"/>
    <x v="59"/>
    <n v="5"/>
    <m/>
    <n v="-5"/>
    <x v="1"/>
    <x v="1"/>
    <x v="1"/>
    <s v="Ground"/>
  </r>
  <r>
    <x v="1"/>
    <x v="60"/>
    <n v="5"/>
    <m/>
    <n v="-5"/>
    <x v="1"/>
    <x v="1"/>
    <x v="1"/>
    <s v="Ground"/>
  </r>
  <r>
    <x v="1"/>
    <x v="61"/>
    <n v="137"/>
    <m/>
    <n v="-137"/>
    <x v="4"/>
    <x v="2"/>
    <x v="1"/>
    <s v="Green's"/>
  </r>
  <r>
    <x v="1"/>
    <x v="61"/>
    <n v="5"/>
    <m/>
    <n v="-5"/>
    <x v="1"/>
    <x v="1"/>
    <x v="1"/>
    <s v="Ground"/>
  </r>
  <r>
    <x v="1"/>
    <x v="62"/>
    <n v="5"/>
    <m/>
    <n v="-5"/>
    <x v="1"/>
    <x v="1"/>
    <x v="1"/>
    <s v="Ground"/>
  </r>
  <r>
    <x v="1"/>
    <x v="62"/>
    <n v="41.8"/>
    <m/>
    <n v="-41.8"/>
    <x v="7"/>
    <x v="4"/>
    <x v="1"/>
    <s v="Event Cinemas"/>
  </r>
  <r>
    <x v="1"/>
    <x v="62"/>
    <n v="99.9"/>
    <m/>
    <n v="-99.9"/>
    <x v="8"/>
    <x v="4"/>
    <x v="1"/>
    <s v="Fashionistas"/>
  </r>
  <r>
    <x v="1"/>
    <x v="62"/>
    <n v="54"/>
    <m/>
    <n v="-54"/>
    <x v="9"/>
    <x v="1"/>
    <x v="1"/>
    <s v="Joe's Grill"/>
  </r>
  <r>
    <x v="1"/>
    <x v="63"/>
    <n v="30"/>
    <m/>
    <n v="-30"/>
    <x v="10"/>
    <x v="3"/>
    <x v="1"/>
    <s v="Taxi Co."/>
  </r>
  <r>
    <x v="0"/>
    <x v="64"/>
    <n v="30"/>
    <m/>
    <n v="-30"/>
    <x v="11"/>
    <x v="4"/>
    <x v="1"/>
    <s v="Muscle Beach"/>
  </r>
  <r>
    <x v="1"/>
    <x v="64"/>
    <n v="5"/>
    <m/>
    <n v="-5"/>
    <x v="1"/>
    <x v="1"/>
    <x v="1"/>
    <s v="Ground"/>
  </r>
  <r>
    <x v="1"/>
    <x v="65"/>
    <n v="5"/>
    <m/>
    <n v="-5"/>
    <x v="1"/>
    <x v="1"/>
    <x v="1"/>
    <s v="Ground"/>
  </r>
  <r>
    <x v="0"/>
    <x v="65"/>
    <n v="75"/>
    <m/>
    <n v="-75"/>
    <x v="16"/>
    <x v="5"/>
    <x v="1"/>
    <s v="Village Medical"/>
  </r>
  <r>
    <x v="0"/>
    <x v="65"/>
    <n v="40"/>
    <m/>
    <n v="-40"/>
    <x v="13"/>
    <x v="2"/>
    <x v="1"/>
    <s v="Phone Co."/>
  </r>
  <r>
    <x v="1"/>
    <x v="66"/>
    <n v="46.8"/>
    <m/>
    <n v="-46.8"/>
    <x v="14"/>
    <x v="4"/>
    <x v="1"/>
    <s v="Sam's Gifts"/>
  </r>
  <r>
    <x v="1"/>
    <x v="66"/>
    <n v="35"/>
    <m/>
    <n v="-35"/>
    <x v="7"/>
    <x v="4"/>
    <x v="1"/>
    <s v="Streaming Co."/>
  </r>
  <r>
    <x v="1"/>
    <x v="66"/>
    <n v="5"/>
    <m/>
    <n v="-5"/>
    <x v="1"/>
    <x v="1"/>
    <x v="1"/>
    <s v="Ground"/>
  </r>
  <r>
    <x v="1"/>
    <x v="67"/>
    <n v="5"/>
    <m/>
    <n v="-5"/>
    <x v="1"/>
    <x v="1"/>
    <x v="1"/>
    <s v="Ground"/>
  </r>
  <r>
    <x v="1"/>
    <x v="68"/>
    <n v="5"/>
    <m/>
    <n v="-5"/>
    <x v="1"/>
    <x v="1"/>
    <x v="1"/>
    <s v="Ground"/>
  </r>
  <r>
    <x v="1"/>
    <x v="68"/>
    <n v="171.9"/>
    <m/>
    <n v="-171.9"/>
    <x v="4"/>
    <x v="2"/>
    <x v="1"/>
    <s v="Green's"/>
  </r>
  <r>
    <x v="1"/>
    <x v="69"/>
    <n v="39"/>
    <m/>
    <n v="-39"/>
    <x v="9"/>
    <x v="1"/>
    <x v="1"/>
    <s v="Pizza Pomodoro"/>
  </r>
  <r>
    <x v="1"/>
    <x v="70"/>
    <n v="14"/>
    <m/>
    <n v="-14"/>
    <x v="9"/>
    <x v="1"/>
    <x v="1"/>
    <s v="Golden Arches"/>
  </r>
  <r>
    <x v="0"/>
    <x v="71"/>
    <n v="55"/>
    <m/>
    <n v="-55"/>
    <x v="15"/>
    <x v="6"/>
    <x v="1"/>
    <s v="Worldvision"/>
  </r>
  <r>
    <x v="1"/>
    <x v="71"/>
    <n v="65"/>
    <m/>
    <n v="-65"/>
    <x v="6"/>
    <x v="3"/>
    <x v="1"/>
    <s v="Fuel. Co"/>
  </r>
  <r>
    <x v="1"/>
    <x v="71"/>
    <n v="5"/>
    <m/>
    <n v="-5"/>
    <x v="1"/>
    <x v="1"/>
    <x v="1"/>
    <s v="Ground"/>
  </r>
  <r>
    <x v="1"/>
    <x v="72"/>
    <n v="5"/>
    <m/>
    <n v="-5"/>
    <x v="1"/>
    <x v="1"/>
    <x v="1"/>
    <s v="Ground"/>
  </r>
  <r>
    <x v="1"/>
    <x v="73"/>
    <n v="5"/>
    <m/>
    <n v="-5"/>
    <x v="1"/>
    <x v="1"/>
    <x v="1"/>
    <s v="Ground"/>
  </r>
  <r>
    <x v="1"/>
    <x v="74"/>
    <n v="5"/>
    <m/>
    <n v="-5"/>
    <x v="1"/>
    <x v="1"/>
    <x v="1"/>
    <s v="Ground"/>
  </r>
  <r>
    <x v="1"/>
    <x v="75"/>
    <n v="5"/>
    <m/>
    <n v="-5"/>
    <x v="1"/>
    <x v="1"/>
    <x v="1"/>
    <s v="Ground"/>
  </r>
  <r>
    <x v="1"/>
    <x v="75"/>
    <n v="209"/>
    <m/>
    <n v="-209"/>
    <x v="4"/>
    <x v="2"/>
    <x v="1"/>
    <s v="Green's"/>
  </r>
  <r>
    <x v="1"/>
    <x v="76"/>
    <n v="127"/>
    <m/>
    <n v="-127"/>
    <x v="8"/>
    <x v="4"/>
    <x v="1"/>
    <s v="Ted's Trainers"/>
  </r>
  <r>
    <x v="1"/>
    <x v="76"/>
    <n v="177.2"/>
    <m/>
    <n v="-177.2"/>
    <x v="8"/>
    <x v="4"/>
    <x v="1"/>
    <s v="Sports Co."/>
  </r>
  <r>
    <x v="1"/>
    <x v="77"/>
    <n v="147.1"/>
    <m/>
    <n v="-147.1"/>
    <x v="8"/>
    <x v="4"/>
    <x v="1"/>
    <s v="Fashionistas"/>
  </r>
  <r>
    <x v="1"/>
    <x v="77"/>
    <n v="25"/>
    <m/>
    <n v="-25"/>
    <x v="10"/>
    <x v="3"/>
    <x v="1"/>
    <s v="Taxi Co."/>
  </r>
  <r>
    <x v="1"/>
    <x v="78"/>
    <n v="15"/>
    <m/>
    <n v="-15"/>
    <x v="9"/>
    <x v="1"/>
    <x v="1"/>
    <s v="Foodary"/>
  </r>
  <r>
    <x v="1"/>
    <x v="79"/>
    <n v="5"/>
    <m/>
    <n v="-5"/>
    <x v="1"/>
    <x v="1"/>
    <x v="1"/>
    <s v="Ground"/>
  </r>
  <r>
    <x v="1"/>
    <x v="80"/>
    <n v="5"/>
    <m/>
    <n v="-5"/>
    <x v="1"/>
    <x v="1"/>
    <x v="1"/>
    <s v="Ground"/>
  </r>
  <r>
    <x v="0"/>
    <x v="81"/>
    <m/>
    <n v="4000"/>
    <n v="4000"/>
    <x v="0"/>
    <x v="0"/>
    <x v="0"/>
    <s v="ACME Pty Ltd"/>
  </r>
  <r>
    <x v="1"/>
    <x v="81"/>
    <n v="5"/>
    <m/>
    <n v="-5"/>
    <x v="1"/>
    <x v="1"/>
    <x v="1"/>
    <s v="Ground"/>
  </r>
  <r>
    <x v="0"/>
    <x v="82"/>
    <n v="900"/>
    <m/>
    <n v="-900"/>
    <x v="2"/>
    <x v="2"/>
    <x v="1"/>
    <s v="Estate Mgt."/>
  </r>
  <r>
    <x v="0"/>
    <x v="82"/>
    <n v="150"/>
    <m/>
    <n v="-150"/>
    <x v="3"/>
    <x v="3"/>
    <x v="1"/>
    <s v="Finance Co."/>
  </r>
  <r>
    <x v="1"/>
    <x v="82"/>
    <n v="5"/>
    <m/>
    <n v="-5"/>
    <x v="1"/>
    <x v="1"/>
    <x v="1"/>
    <s v="Ground"/>
  </r>
  <r>
    <x v="1"/>
    <x v="83"/>
    <n v="5"/>
    <m/>
    <n v="-5"/>
    <x v="1"/>
    <x v="1"/>
    <x v="1"/>
    <s v="Ground"/>
  </r>
  <r>
    <x v="1"/>
    <x v="84"/>
    <n v="5"/>
    <m/>
    <n v="-5"/>
    <x v="1"/>
    <x v="1"/>
    <x v="1"/>
    <s v="Ground"/>
  </r>
  <r>
    <x v="1"/>
    <x v="85"/>
    <n v="5"/>
    <m/>
    <n v="-5"/>
    <x v="1"/>
    <x v="1"/>
    <x v="1"/>
    <s v="Ground"/>
  </r>
  <r>
    <x v="1"/>
    <x v="85"/>
    <n v="158.19999999999999"/>
    <m/>
    <n v="-158.19999999999999"/>
    <x v="4"/>
    <x v="2"/>
    <x v="1"/>
    <s v="Green's"/>
  </r>
  <r>
    <x v="0"/>
    <x v="86"/>
    <n v="53.2"/>
    <m/>
    <n v="-53.2"/>
    <x v="5"/>
    <x v="2"/>
    <x v="1"/>
    <s v="Elec. Co."/>
  </r>
  <r>
    <x v="1"/>
    <x v="86"/>
    <n v="5"/>
    <m/>
    <n v="-5"/>
    <x v="1"/>
    <x v="1"/>
    <x v="1"/>
    <s v="Ground"/>
  </r>
  <r>
    <x v="1"/>
    <x v="87"/>
    <n v="5"/>
    <m/>
    <n v="-5"/>
    <x v="1"/>
    <x v="1"/>
    <x v="1"/>
    <s v="Ground"/>
  </r>
  <r>
    <x v="1"/>
    <x v="88"/>
    <n v="79.900000000000006"/>
    <m/>
    <n v="-79.900000000000006"/>
    <x v="6"/>
    <x v="3"/>
    <x v="1"/>
    <s v="Fuel. Co"/>
  </r>
  <r>
    <x v="1"/>
    <x v="88"/>
    <n v="5"/>
    <m/>
    <n v="-5"/>
    <x v="1"/>
    <x v="1"/>
    <x v="1"/>
    <s v="Ground"/>
  </r>
  <r>
    <x v="1"/>
    <x v="89"/>
    <n v="5"/>
    <m/>
    <n v="-5"/>
    <x v="1"/>
    <x v="1"/>
    <x v="1"/>
    <s v="Ground"/>
  </r>
  <r>
    <x v="1"/>
    <x v="90"/>
    <n v="98"/>
    <m/>
    <n v="-98"/>
    <x v="4"/>
    <x v="2"/>
    <x v="1"/>
    <s v="Green's"/>
  </r>
  <r>
    <x v="1"/>
    <x v="90"/>
    <n v="5"/>
    <m/>
    <n v="-5"/>
    <x v="1"/>
    <x v="1"/>
    <x v="1"/>
    <s v="Ground"/>
  </r>
  <r>
    <x v="1"/>
    <x v="91"/>
    <n v="5"/>
    <m/>
    <n v="-5"/>
    <x v="1"/>
    <x v="1"/>
    <x v="1"/>
    <s v="Ground"/>
  </r>
  <r>
    <x v="1"/>
    <x v="91"/>
    <n v="42.8"/>
    <m/>
    <n v="-42.8"/>
    <x v="7"/>
    <x v="4"/>
    <x v="1"/>
    <s v="Event Cinemas"/>
  </r>
  <r>
    <x v="1"/>
    <x v="91"/>
    <n v="100.9"/>
    <m/>
    <n v="-100.9"/>
    <x v="8"/>
    <x v="4"/>
    <x v="1"/>
    <s v="Fashionistas"/>
  </r>
  <r>
    <x v="1"/>
    <x v="91"/>
    <n v="54.9"/>
    <m/>
    <n v="-54.9"/>
    <x v="9"/>
    <x v="1"/>
    <x v="1"/>
    <s v="Joe's Grill"/>
  </r>
  <r>
    <x v="1"/>
    <x v="92"/>
    <n v="31"/>
    <m/>
    <n v="-31"/>
    <x v="10"/>
    <x v="3"/>
    <x v="1"/>
    <s v="Taxi Co."/>
  </r>
  <r>
    <x v="0"/>
    <x v="93"/>
    <n v="30"/>
    <m/>
    <n v="-30"/>
    <x v="11"/>
    <x v="4"/>
    <x v="1"/>
    <s v="Muscle Beach"/>
  </r>
  <r>
    <x v="1"/>
    <x v="93"/>
    <n v="5"/>
    <m/>
    <n v="-5"/>
    <x v="1"/>
    <x v="1"/>
    <x v="1"/>
    <s v="Ground"/>
  </r>
  <r>
    <x v="1"/>
    <x v="94"/>
    <n v="5"/>
    <m/>
    <n v="-5"/>
    <x v="1"/>
    <x v="1"/>
    <x v="1"/>
    <s v="Ground"/>
  </r>
  <r>
    <x v="0"/>
    <x v="94"/>
    <n v="40"/>
    <m/>
    <n v="-40"/>
    <x v="13"/>
    <x v="2"/>
    <x v="1"/>
    <s v="Phone Co."/>
  </r>
  <r>
    <x v="1"/>
    <x v="95"/>
    <n v="47.9"/>
    <m/>
    <n v="-47.9"/>
    <x v="14"/>
    <x v="4"/>
    <x v="1"/>
    <s v="Sam's Gifts"/>
  </r>
  <r>
    <x v="1"/>
    <x v="95"/>
    <n v="35"/>
    <m/>
    <n v="-35"/>
    <x v="7"/>
    <x v="4"/>
    <x v="1"/>
    <s v="Streaming Co."/>
  </r>
  <r>
    <x v="1"/>
    <x v="95"/>
    <n v="5"/>
    <m/>
    <n v="-5"/>
    <x v="1"/>
    <x v="1"/>
    <x v="1"/>
    <s v="Ground"/>
  </r>
  <r>
    <x v="1"/>
    <x v="96"/>
    <n v="5"/>
    <m/>
    <n v="-5"/>
    <x v="1"/>
    <x v="1"/>
    <x v="1"/>
    <s v="Ground"/>
  </r>
  <r>
    <x v="1"/>
    <x v="97"/>
    <n v="5"/>
    <m/>
    <n v="-5"/>
    <x v="1"/>
    <x v="1"/>
    <x v="1"/>
    <s v="Ground"/>
  </r>
  <r>
    <x v="1"/>
    <x v="97"/>
    <n v="173"/>
    <m/>
    <n v="-173"/>
    <x v="4"/>
    <x v="2"/>
    <x v="1"/>
    <s v="Green's"/>
  </r>
  <r>
    <x v="1"/>
    <x v="98"/>
    <n v="40.1"/>
    <m/>
    <n v="-40.1"/>
    <x v="9"/>
    <x v="1"/>
    <x v="1"/>
    <s v="Pizza Pomodoro"/>
  </r>
  <r>
    <x v="1"/>
    <x v="99"/>
    <n v="15.1"/>
    <m/>
    <n v="-15.1"/>
    <x v="9"/>
    <x v="1"/>
    <x v="1"/>
    <s v="Golden Arches"/>
  </r>
  <r>
    <x v="0"/>
    <x v="100"/>
    <n v="55"/>
    <m/>
    <n v="-55"/>
    <x v="15"/>
    <x v="6"/>
    <x v="1"/>
    <s v="Worldvision"/>
  </r>
  <r>
    <x v="1"/>
    <x v="100"/>
    <n v="66"/>
    <m/>
    <n v="-66"/>
    <x v="6"/>
    <x v="3"/>
    <x v="1"/>
    <s v="Fuel. Co"/>
  </r>
  <r>
    <x v="1"/>
    <x v="100"/>
    <n v="5"/>
    <m/>
    <n v="-5"/>
    <x v="1"/>
    <x v="1"/>
    <x v="1"/>
    <s v="Ground"/>
  </r>
  <r>
    <x v="1"/>
    <x v="101"/>
    <n v="5"/>
    <m/>
    <n v="-5"/>
    <x v="1"/>
    <x v="1"/>
    <x v="1"/>
    <s v="Ground"/>
  </r>
  <r>
    <x v="1"/>
    <x v="102"/>
    <n v="5"/>
    <m/>
    <n v="-5"/>
    <x v="1"/>
    <x v="1"/>
    <x v="1"/>
    <s v="Ground"/>
  </r>
  <r>
    <x v="1"/>
    <x v="103"/>
    <n v="5"/>
    <m/>
    <n v="-5"/>
    <x v="1"/>
    <x v="1"/>
    <x v="1"/>
    <s v="Ground"/>
  </r>
  <r>
    <x v="1"/>
    <x v="104"/>
    <n v="5"/>
    <m/>
    <n v="-5"/>
    <x v="1"/>
    <x v="1"/>
    <x v="1"/>
    <s v="Ground"/>
  </r>
  <r>
    <x v="1"/>
    <x v="104"/>
    <n v="164.9"/>
    <m/>
    <n v="-164.9"/>
    <x v="4"/>
    <x v="2"/>
    <x v="1"/>
    <s v="Green's"/>
  </r>
  <r>
    <x v="1"/>
    <x v="105"/>
    <n v="127.9"/>
    <m/>
    <n v="-127.9"/>
    <x v="8"/>
    <x v="4"/>
    <x v="1"/>
    <s v="Ted's Trainers"/>
  </r>
  <r>
    <x v="1"/>
    <x v="105"/>
    <n v="300"/>
    <m/>
    <n v="-300"/>
    <x v="7"/>
    <x v="4"/>
    <x v="1"/>
    <s v="BW Club"/>
  </r>
  <r>
    <x v="1"/>
    <x v="106"/>
    <n v="148.1"/>
    <m/>
    <n v="-148.1"/>
    <x v="8"/>
    <x v="4"/>
    <x v="1"/>
    <s v="Fashionistas"/>
  </r>
  <r>
    <x v="1"/>
    <x v="106"/>
    <n v="26.1"/>
    <m/>
    <n v="-26.1"/>
    <x v="10"/>
    <x v="3"/>
    <x v="1"/>
    <s v="Taxi Co."/>
  </r>
  <r>
    <x v="1"/>
    <x v="107"/>
    <n v="15"/>
    <m/>
    <n v="-15"/>
    <x v="9"/>
    <x v="1"/>
    <x v="1"/>
    <s v="Foodary"/>
  </r>
  <r>
    <x v="1"/>
    <x v="107"/>
    <n v="5"/>
    <m/>
    <n v="-5"/>
    <x v="1"/>
    <x v="1"/>
    <x v="1"/>
    <s v="Ground"/>
  </r>
  <r>
    <x v="1"/>
    <x v="108"/>
    <n v="5"/>
    <m/>
    <n v="-5"/>
    <x v="1"/>
    <x v="1"/>
    <x v="1"/>
    <s v="Ground"/>
  </r>
  <r>
    <x v="1"/>
    <x v="109"/>
    <n v="5"/>
    <m/>
    <n v="-5"/>
    <x v="1"/>
    <x v="1"/>
    <x v="1"/>
    <s v="Ground"/>
  </r>
  <r>
    <x v="0"/>
    <x v="110"/>
    <m/>
    <n v="4000"/>
    <n v="4000"/>
    <x v="0"/>
    <x v="0"/>
    <x v="0"/>
    <s v="ACME Pty Ltd"/>
  </r>
  <r>
    <x v="0"/>
    <x v="110"/>
    <n v="900"/>
    <m/>
    <n v="-900"/>
    <x v="2"/>
    <x v="2"/>
    <x v="1"/>
    <s v="Estate Mgt."/>
  </r>
  <r>
    <x v="0"/>
    <x v="110"/>
    <n v="150"/>
    <m/>
    <n v="-150"/>
    <x v="3"/>
    <x v="3"/>
    <x v="1"/>
    <s v="Finance Co."/>
  </r>
  <r>
    <x v="1"/>
    <x v="110"/>
    <n v="5"/>
    <m/>
    <n v="-5"/>
    <x v="1"/>
    <x v="1"/>
    <x v="1"/>
    <s v="Ground"/>
  </r>
  <r>
    <x v="1"/>
    <x v="111"/>
    <n v="5"/>
    <m/>
    <n v="-5"/>
    <x v="1"/>
    <x v="1"/>
    <x v="1"/>
    <s v="Ground"/>
  </r>
  <r>
    <x v="1"/>
    <x v="112"/>
    <n v="5"/>
    <m/>
    <n v="-5"/>
    <x v="1"/>
    <x v="1"/>
    <x v="1"/>
    <s v="Ground"/>
  </r>
  <r>
    <x v="1"/>
    <x v="113"/>
    <n v="5"/>
    <m/>
    <n v="-5"/>
    <x v="1"/>
    <x v="1"/>
    <x v="1"/>
    <s v="Ground"/>
  </r>
  <r>
    <x v="1"/>
    <x v="113"/>
    <n v="170"/>
    <m/>
    <n v="-170"/>
    <x v="4"/>
    <x v="2"/>
    <x v="1"/>
    <s v="Green's"/>
  </r>
  <r>
    <x v="0"/>
    <x v="114"/>
    <n v="54.1"/>
    <m/>
    <n v="-54.1"/>
    <x v="5"/>
    <x v="2"/>
    <x v="1"/>
    <s v="Elec. Co."/>
  </r>
  <r>
    <x v="1"/>
    <x v="114"/>
    <n v="5"/>
    <m/>
    <n v="-5"/>
    <x v="1"/>
    <x v="1"/>
    <x v="1"/>
    <s v="Ground"/>
  </r>
  <r>
    <x v="1"/>
    <x v="115"/>
    <n v="5"/>
    <m/>
    <n v="-5"/>
    <x v="1"/>
    <x v="1"/>
    <x v="1"/>
    <s v="Ground"/>
  </r>
  <r>
    <x v="1"/>
    <x v="116"/>
    <n v="81"/>
    <m/>
    <n v="-81"/>
    <x v="6"/>
    <x v="3"/>
    <x v="1"/>
    <s v="Fuel. Co"/>
  </r>
  <r>
    <x v="1"/>
    <x v="116"/>
    <n v="5"/>
    <m/>
    <n v="-5"/>
    <x v="1"/>
    <x v="1"/>
    <x v="1"/>
    <s v="Ground"/>
  </r>
  <r>
    <x v="1"/>
    <x v="117"/>
    <n v="5"/>
    <m/>
    <n v="-5"/>
    <x v="1"/>
    <x v="1"/>
    <x v="1"/>
    <s v="Ground"/>
  </r>
  <r>
    <x v="1"/>
    <x v="118"/>
    <n v="139.1"/>
    <m/>
    <n v="-139.1"/>
    <x v="4"/>
    <x v="2"/>
    <x v="1"/>
    <s v="Green's"/>
  </r>
  <r>
    <x v="1"/>
    <x v="118"/>
    <n v="5"/>
    <m/>
    <n v="-5"/>
    <x v="1"/>
    <x v="1"/>
    <x v="1"/>
    <s v="Ground"/>
  </r>
  <r>
    <x v="1"/>
    <x v="119"/>
    <n v="5"/>
    <m/>
    <n v="-5"/>
    <x v="1"/>
    <x v="1"/>
    <x v="1"/>
    <s v="Ground"/>
  </r>
  <r>
    <x v="1"/>
    <x v="119"/>
    <n v="43.9"/>
    <m/>
    <n v="-43.9"/>
    <x v="7"/>
    <x v="4"/>
    <x v="1"/>
    <s v="Event Cinemas"/>
  </r>
  <r>
    <x v="1"/>
    <x v="119"/>
    <n v="101.80000000000001"/>
    <m/>
    <n v="-101.80000000000001"/>
    <x v="8"/>
    <x v="4"/>
    <x v="1"/>
    <s v="Fashionistas"/>
  </r>
  <r>
    <x v="1"/>
    <x v="119"/>
    <n v="55.9"/>
    <m/>
    <n v="-55.9"/>
    <x v="9"/>
    <x v="1"/>
    <x v="1"/>
    <s v="Joe's Grill"/>
  </r>
  <r>
    <x v="1"/>
    <x v="120"/>
    <n v="32"/>
    <m/>
    <n v="-32"/>
    <x v="10"/>
    <x v="3"/>
    <x v="1"/>
    <s v="Taxi Co."/>
  </r>
  <r>
    <x v="0"/>
    <x v="121"/>
    <n v="30"/>
    <m/>
    <n v="-30"/>
    <x v="11"/>
    <x v="4"/>
    <x v="1"/>
    <s v="Muscle Beach"/>
  </r>
  <r>
    <x v="1"/>
    <x v="121"/>
    <n v="5"/>
    <m/>
    <n v="-5"/>
    <x v="1"/>
    <x v="1"/>
    <x v="1"/>
    <s v="Ground"/>
  </r>
  <r>
    <x v="1"/>
    <x v="122"/>
    <n v="5"/>
    <m/>
    <n v="-5"/>
    <x v="1"/>
    <x v="1"/>
    <x v="1"/>
    <s v="Ground"/>
  </r>
  <r>
    <x v="0"/>
    <x v="122"/>
    <n v="75"/>
    <m/>
    <n v="-75"/>
    <x v="16"/>
    <x v="5"/>
    <x v="1"/>
    <s v="Village Medical"/>
  </r>
  <r>
    <x v="0"/>
    <x v="122"/>
    <n v="40"/>
    <m/>
    <n v="-40"/>
    <x v="13"/>
    <x v="2"/>
    <x v="1"/>
    <s v="Phone Co."/>
  </r>
  <r>
    <x v="1"/>
    <x v="123"/>
    <n v="49"/>
    <m/>
    <n v="-49"/>
    <x v="14"/>
    <x v="4"/>
    <x v="1"/>
    <s v="Sam's Gifts"/>
  </r>
  <r>
    <x v="1"/>
    <x v="123"/>
    <n v="35"/>
    <m/>
    <n v="-35"/>
    <x v="7"/>
    <x v="4"/>
    <x v="1"/>
    <s v="Streaming Co."/>
  </r>
  <r>
    <x v="1"/>
    <x v="123"/>
    <n v="5"/>
    <m/>
    <n v="-5"/>
    <x v="1"/>
    <x v="1"/>
    <x v="1"/>
    <s v="Ground"/>
  </r>
  <r>
    <x v="1"/>
    <x v="124"/>
    <n v="5"/>
    <m/>
    <n v="-5"/>
    <x v="1"/>
    <x v="1"/>
    <x v="1"/>
    <s v="Ground"/>
  </r>
  <r>
    <x v="1"/>
    <x v="125"/>
    <n v="5"/>
    <m/>
    <n v="-5"/>
    <x v="1"/>
    <x v="1"/>
    <x v="1"/>
    <s v="Ground"/>
  </r>
  <r>
    <x v="1"/>
    <x v="125"/>
    <n v="174"/>
    <m/>
    <n v="-174"/>
    <x v="4"/>
    <x v="2"/>
    <x v="1"/>
    <s v="Green's"/>
  </r>
  <r>
    <x v="1"/>
    <x v="126"/>
    <n v="41.1"/>
    <m/>
    <n v="-41.1"/>
    <x v="9"/>
    <x v="1"/>
    <x v="1"/>
    <s v="Pizza Pomodoro"/>
  </r>
  <r>
    <x v="1"/>
    <x v="127"/>
    <n v="16.2"/>
    <m/>
    <n v="-16.2"/>
    <x v="9"/>
    <x v="1"/>
    <x v="1"/>
    <s v="Golden Arches"/>
  </r>
  <r>
    <x v="0"/>
    <x v="128"/>
    <n v="55"/>
    <m/>
    <n v="-55"/>
    <x v="15"/>
    <x v="6"/>
    <x v="1"/>
    <s v="Worldvision"/>
  </r>
  <r>
    <x v="1"/>
    <x v="128"/>
    <n v="67"/>
    <m/>
    <n v="-67"/>
    <x v="6"/>
    <x v="3"/>
    <x v="1"/>
    <s v="Fuel. Co"/>
  </r>
  <r>
    <x v="1"/>
    <x v="128"/>
    <n v="5"/>
    <m/>
    <n v="-5"/>
    <x v="1"/>
    <x v="1"/>
    <x v="1"/>
    <s v="Ground"/>
  </r>
  <r>
    <x v="1"/>
    <x v="129"/>
    <n v="5"/>
    <m/>
    <n v="-5"/>
    <x v="1"/>
    <x v="1"/>
    <x v="1"/>
    <s v="Ground"/>
  </r>
  <r>
    <x v="1"/>
    <x v="130"/>
    <n v="5"/>
    <m/>
    <n v="-5"/>
    <x v="1"/>
    <x v="1"/>
    <x v="1"/>
    <s v="Ground"/>
  </r>
  <r>
    <x v="1"/>
    <x v="131"/>
    <n v="5"/>
    <m/>
    <n v="-5"/>
    <x v="1"/>
    <x v="1"/>
    <x v="1"/>
    <s v="Ground"/>
  </r>
  <r>
    <x v="1"/>
    <x v="132"/>
    <n v="5"/>
    <m/>
    <n v="-5"/>
    <x v="1"/>
    <x v="1"/>
    <x v="1"/>
    <s v="Ground"/>
  </r>
  <r>
    <x v="1"/>
    <x v="132"/>
    <n v="165.8"/>
    <m/>
    <n v="-165.8"/>
    <x v="4"/>
    <x v="2"/>
    <x v="1"/>
    <s v="Green's"/>
  </r>
  <r>
    <x v="1"/>
    <x v="133"/>
    <n v="128.80000000000001"/>
    <m/>
    <n v="-128.80000000000001"/>
    <x v="8"/>
    <x v="4"/>
    <x v="1"/>
    <s v="Ted's Trainers"/>
  </r>
  <r>
    <x v="1"/>
    <x v="133"/>
    <n v="235"/>
    <m/>
    <n v="-235"/>
    <x v="17"/>
    <x v="4"/>
    <x v="1"/>
    <s v="Home Decorator"/>
  </r>
  <r>
    <x v="1"/>
    <x v="134"/>
    <n v="149.19999999999999"/>
    <m/>
    <n v="-149.19999999999999"/>
    <x v="8"/>
    <x v="4"/>
    <x v="1"/>
    <s v="Fashionistas"/>
  </r>
  <r>
    <x v="1"/>
    <x v="134"/>
    <n v="27.200000000000003"/>
    <m/>
    <n v="-27.200000000000003"/>
    <x v="10"/>
    <x v="3"/>
    <x v="1"/>
    <s v="Taxi Co."/>
  </r>
  <r>
    <x v="1"/>
    <x v="135"/>
    <n v="15"/>
    <m/>
    <n v="-15"/>
    <x v="9"/>
    <x v="1"/>
    <x v="1"/>
    <s v="Foodary"/>
  </r>
  <r>
    <x v="1"/>
    <x v="136"/>
    <n v="5"/>
    <m/>
    <n v="-5"/>
    <x v="1"/>
    <x v="1"/>
    <x v="1"/>
    <s v="Ground"/>
  </r>
  <r>
    <x v="1"/>
    <x v="135"/>
    <n v="5"/>
    <m/>
    <n v="-5"/>
    <x v="1"/>
    <x v="1"/>
    <x v="1"/>
    <s v="Ground"/>
  </r>
  <r>
    <x v="0"/>
    <x v="137"/>
    <m/>
    <n v="4000"/>
    <n v="4000"/>
    <x v="0"/>
    <x v="0"/>
    <x v="0"/>
    <s v="ACME Pty Ltd"/>
  </r>
  <r>
    <x v="1"/>
    <x v="138"/>
    <n v="5"/>
    <m/>
    <n v="-5"/>
    <x v="1"/>
    <x v="1"/>
    <x v="1"/>
    <s v="Ground"/>
  </r>
  <r>
    <x v="0"/>
    <x v="138"/>
    <n v="900"/>
    <m/>
    <n v="-900"/>
    <x v="2"/>
    <x v="2"/>
    <x v="1"/>
    <s v="Estate Mgt."/>
  </r>
  <r>
    <x v="0"/>
    <x v="138"/>
    <n v="150"/>
    <m/>
    <n v="-150"/>
    <x v="3"/>
    <x v="3"/>
    <x v="1"/>
    <s v="Finance Co."/>
  </r>
  <r>
    <x v="1"/>
    <x v="138"/>
    <n v="5"/>
    <m/>
    <n v="-5"/>
    <x v="1"/>
    <x v="1"/>
    <x v="1"/>
    <s v="Ground"/>
  </r>
  <r>
    <x v="1"/>
    <x v="139"/>
    <n v="5"/>
    <m/>
    <n v="-5"/>
    <x v="1"/>
    <x v="1"/>
    <x v="1"/>
    <s v="Ground"/>
  </r>
  <r>
    <x v="1"/>
    <x v="140"/>
    <n v="5"/>
    <m/>
    <n v="-5"/>
    <x v="1"/>
    <x v="1"/>
    <x v="1"/>
    <s v="Ground"/>
  </r>
  <r>
    <x v="1"/>
    <x v="141"/>
    <n v="5"/>
    <m/>
    <n v="-5"/>
    <x v="1"/>
    <x v="1"/>
    <x v="1"/>
    <s v="Ground"/>
  </r>
  <r>
    <x v="1"/>
    <x v="141"/>
    <n v="119"/>
    <m/>
    <n v="-119"/>
    <x v="4"/>
    <x v="2"/>
    <x v="1"/>
    <s v="Green's"/>
  </r>
  <r>
    <x v="0"/>
    <x v="142"/>
    <n v="55"/>
    <m/>
    <n v="-55"/>
    <x v="5"/>
    <x v="2"/>
    <x v="1"/>
    <s v="Elec. Co."/>
  </r>
  <r>
    <x v="1"/>
    <x v="142"/>
    <n v="5"/>
    <m/>
    <n v="-5"/>
    <x v="1"/>
    <x v="1"/>
    <x v="1"/>
    <s v="Ground"/>
  </r>
  <r>
    <x v="1"/>
    <x v="143"/>
    <n v="5"/>
    <m/>
    <n v="-5"/>
    <x v="1"/>
    <x v="1"/>
    <x v="1"/>
    <s v="Ground"/>
  </r>
  <r>
    <x v="1"/>
    <x v="144"/>
    <n v="82.1"/>
    <m/>
    <n v="-82.1"/>
    <x v="6"/>
    <x v="3"/>
    <x v="1"/>
    <s v="Fuel. Co"/>
  </r>
  <r>
    <x v="1"/>
    <x v="144"/>
    <n v="5"/>
    <m/>
    <n v="-5"/>
    <x v="1"/>
    <x v="1"/>
    <x v="1"/>
    <s v="Ground"/>
  </r>
  <r>
    <x v="1"/>
    <x v="145"/>
    <n v="5"/>
    <m/>
    <n v="-5"/>
    <x v="1"/>
    <x v="1"/>
    <x v="1"/>
    <s v="Ground"/>
  </r>
  <r>
    <x v="1"/>
    <x v="146"/>
    <n v="140.19999999999999"/>
    <m/>
    <n v="-140.19999999999999"/>
    <x v="4"/>
    <x v="2"/>
    <x v="1"/>
    <s v="Green's"/>
  </r>
  <r>
    <x v="1"/>
    <x v="146"/>
    <n v="5"/>
    <m/>
    <n v="-5"/>
    <x v="1"/>
    <x v="1"/>
    <x v="1"/>
    <s v="Ground"/>
  </r>
  <r>
    <x v="1"/>
    <x v="147"/>
    <n v="5"/>
    <m/>
    <n v="-5"/>
    <x v="1"/>
    <x v="1"/>
    <x v="1"/>
    <s v="Ground"/>
  </r>
  <r>
    <x v="1"/>
    <x v="147"/>
    <n v="44.9"/>
    <m/>
    <n v="-44.9"/>
    <x v="7"/>
    <x v="4"/>
    <x v="1"/>
    <s v="Event Cinemas"/>
  </r>
  <r>
    <x v="1"/>
    <x v="147"/>
    <n v="102.9"/>
    <m/>
    <n v="-102.9"/>
    <x v="8"/>
    <x v="4"/>
    <x v="1"/>
    <s v="Fashionistas"/>
  </r>
  <r>
    <x v="1"/>
    <x v="147"/>
    <n v="56.9"/>
    <m/>
    <n v="-56.9"/>
    <x v="9"/>
    <x v="1"/>
    <x v="1"/>
    <s v="Joe's Grill"/>
  </r>
  <r>
    <x v="1"/>
    <x v="148"/>
    <n v="33.1"/>
    <m/>
    <n v="-33.1"/>
    <x v="10"/>
    <x v="3"/>
    <x v="1"/>
    <s v="Taxi Co."/>
  </r>
  <r>
    <x v="0"/>
    <x v="149"/>
    <n v="30"/>
    <m/>
    <n v="-30"/>
    <x v="11"/>
    <x v="4"/>
    <x v="1"/>
    <s v="Muscle Beach"/>
  </r>
  <r>
    <x v="1"/>
    <x v="149"/>
    <n v="5"/>
    <m/>
    <n v="-5"/>
    <x v="1"/>
    <x v="1"/>
    <x v="1"/>
    <s v="Ground"/>
  </r>
  <r>
    <x v="1"/>
    <x v="150"/>
    <n v="5"/>
    <m/>
    <n v="-5"/>
    <x v="1"/>
    <x v="1"/>
    <x v="1"/>
    <s v="Ground"/>
  </r>
  <r>
    <x v="0"/>
    <x v="150"/>
    <n v="40"/>
    <m/>
    <n v="-40"/>
    <x v="13"/>
    <x v="2"/>
    <x v="1"/>
    <s v="Phone Co."/>
  </r>
  <r>
    <x v="1"/>
    <x v="151"/>
    <n v="50.1"/>
    <m/>
    <n v="-50.1"/>
    <x v="14"/>
    <x v="4"/>
    <x v="1"/>
    <s v="Sam's Gifts"/>
  </r>
  <r>
    <x v="1"/>
    <x v="151"/>
    <n v="35"/>
    <m/>
    <n v="-35"/>
    <x v="7"/>
    <x v="4"/>
    <x v="1"/>
    <s v="Streaming Co."/>
  </r>
  <r>
    <x v="1"/>
    <x v="151"/>
    <n v="5"/>
    <m/>
    <n v="-5"/>
    <x v="1"/>
    <x v="1"/>
    <x v="1"/>
    <s v="Ground"/>
  </r>
  <r>
    <x v="1"/>
    <x v="152"/>
    <n v="5"/>
    <m/>
    <n v="-5"/>
    <x v="1"/>
    <x v="1"/>
    <x v="1"/>
    <s v="Ground"/>
  </r>
  <r>
    <x v="1"/>
    <x v="153"/>
    <n v="5"/>
    <m/>
    <n v="-5"/>
    <x v="1"/>
    <x v="1"/>
    <x v="1"/>
    <s v="Ground"/>
  </r>
  <r>
    <x v="1"/>
    <x v="153"/>
    <n v="234"/>
    <m/>
    <n v="-234"/>
    <x v="4"/>
    <x v="2"/>
    <x v="1"/>
    <s v="Green's"/>
  </r>
  <r>
    <x v="1"/>
    <x v="154"/>
    <n v="42.1"/>
    <m/>
    <n v="-42.1"/>
    <x v="9"/>
    <x v="1"/>
    <x v="1"/>
    <s v="Pizza Pomodoro"/>
  </r>
  <r>
    <x v="1"/>
    <x v="155"/>
    <n v="17.099999999999998"/>
    <m/>
    <n v="-17.099999999999998"/>
    <x v="9"/>
    <x v="1"/>
    <x v="1"/>
    <s v="Golden Arches"/>
  </r>
  <r>
    <x v="0"/>
    <x v="156"/>
    <n v="55"/>
    <m/>
    <n v="-55"/>
    <x v="15"/>
    <x v="6"/>
    <x v="1"/>
    <s v="Worldvision"/>
  </r>
  <r>
    <x v="1"/>
    <x v="156"/>
    <n v="67.900000000000006"/>
    <m/>
    <n v="-67.900000000000006"/>
    <x v="6"/>
    <x v="3"/>
    <x v="1"/>
    <s v="Fuel. Co"/>
  </r>
  <r>
    <x v="1"/>
    <x v="156"/>
    <n v="5"/>
    <m/>
    <n v="-5"/>
    <x v="1"/>
    <x v="1"/>
    <x v="1"/>
    <s v="Ground"/>
  </r>
  <r>
    <x v="1"/>
    <x v="157"/>
    <n v="5"/>
    <m/>
    <n v="-5"/>
    <x v="1"/>
    <x v="1"/>
    <x v="1"/>
    <s v="Ground"/>
  </r>
  <r>
    <x v="1"/>
    <x v="158"/>
    <n v="5"/>
    <m/>
    <n v="-5"/>
    <x v="1"/>
    <x v="1"/>
    <x v="1"/>
    <s v="Ground"/>
  </r>
  <r>
    <x v="1"/>
    <x v="159"/>
    <n v="5"/>
    <m/>
    <n v="-5"/>
    <x v="1"/>
    <x v="1"/>
    <x v="1"/>
    <s v="Ground"/>
  </r>
  <r>
    <x v="1"/>
    <x v="160"/>
    <n v="5"/>
    <m/>
    <n v="-5"/>
    <x v="1"/>
    <x v="1"/>
    <x v="1"/>
    <s v="Ground"/>
  </r>
  <r>
    <x v="1"/>
    <x v="160"/>
    <n v="166.9"/>
    <m/>
    <n v="-166.9"/>
    <x v="4"/>
    <x v="2"/>
    <x v="1"/>
    <s v="Green's"/>
  </r>
  <r>
    <x v="1"/>
    <x v="161"/>
    <n v="129.9"/>
    <m/>
    <n v="-129.9"/>
    <x v="8"/>
    <x v="4"/>
    <x v="1"/>
    <s v="Ted's Trainers"/>
  </r>
  <r>
    <x v="1"/>
    <x v="161"/>
    <n v="180.29999999999998"/>
    <m/>
    <n v="-180.29999999999998"/>
    <x v="7"/>
    <x v="4"/>
    <x v="1"/>
    <s v="Ticketek"/>
  </r>
  <r>
    <x v="1"/>
    <x v="162"/>
    <n v="150.1"/>
    <m/>
    <n v="-150.1"/>
    <x v="8"/>
    <x v="4"/>
    <x v="1"/>
    <s v="Fashionistas"/>
  </r>
  <r>
    <x v="1"/>
    <x v="162"/>
    <n v="28.200000000000003"/>
    <m/>
    <n v="-28.200000000000003"/>
    <x v="10"/>
    <x v="3"/>
    <x v="1"/>
    <s v="Taxi Co."/>
  </r>
  <r>
    <x v="1"/>
    <x v="162"/>
    <n v="15"/>
    <m/>
    <n v="-15"/>
    <x v="9"/>
    <x v="1"/>
    <x v="1"/>
    <s v="Foodary"/>
  </r>
  <r>
    <x v="1"/>
    <x v="163"/>
    <n v="5"/>
    <m/>
    <n v="-5"/>
    <x v="1"/>
    <x v="1"/>
    <x v="1"/>
    <s v="Ground"/>
  </r>
  <r>
    <x v="1"/>
    <x v="164"/>
    <n v="5"/>
    <m/>
    <n v="-5"/>
    <x v="1"/>
    <x v="1"/>
    <x v="1"/>
    <s v="Ground"/>
  </r>
  <r>
    <x v="0"/>
    <x v="165"/>
    <m/>
    <n v="4000"/>
    <n v="4000"/>
    <x v="0"/>
    <x v="0"/>
    <x v="0"/>
    <s v="ACME Pty Ltd"/>
  </r>
  <r>
    <x v="1"/>
    <x v="166"/>
    <n v="5"/>
    <m/>
    <n v="-5"/>
    <x v="1"/>
    <x v="1"/>
    <x v="1"/>
    <s v="Ground"/>
  </r>
  <r>
    <x v="0"/>
    <x v="167"/>
    <n v="900"/>
    <m/>
    <n v="-900"/>
    <x v="2"/>
    <x v="2"/>
    <x v="1"/>
    <s v="Estate Mgt."/>
  </r>
  <r>
    <x v="0"/>
    <x v="167"/>
    <n v="150"/>
    <m/>
    <n v="-150"/>
    <x v="3"/>
    <x v="3"/>
    <x v="1"/>
    <s v="Finance Co."/>
  </r>
  <r>
    <x v="1"/>
    <x v="167"/>
    <n v="15"/>
    <m/>
    <n v="-15"/>
    <x v="9"/>
    <x v="1"/>
    <x v="1"/>
    <s v="Fodary"/>
  </r>
  <r>
    <x v="1"/>
    <x v="167"/>
    <n v="5"/>
    <m/>
    <n v="-5"/>
    <x v="1"/>
    <x v="1"/>
    <x v="1"/>
    <s v="Ground"/>
  </r>
  <r>
    <x v="1"/>
    <x v="168"/>
    <n v="5"/>
    <m/>
    <n v="-5"/>
    <x v="1"/>
    <x v="1"/>
    <x v="1"/>
    <s v="Ground"/>
  </r>
  <r>
    <x v="1"/>
    <x v="169"/>
    <n v="5"/>
    <m/>
    <n v="-5"/>
    <x v="1"/>
    <x v="1"/>
    <x v="1"/>
    <s v="Ground"/>
  </r>
  <r>
    <x v="1"/>
    <x v="169"/>
    <n v="180"/>
    <m/>
    <n v="-180"/>
    <x v="4"/>
    <x v="2"/>
    <x v="1"/>
    <s v="Green's"/>
  </r>
  <r>
    <x v="0"/>
    <x v="170"/>
    <n v="56.1"/>
    <m/>
    <n v="-56.1"/>
    <x v="5"/>
    <x v="2"/>
    <x v="1"/>
    <s v="Elec. Co."/>
  </r>
  <r>
    <x v="1"/>
    <x v="170"/>
    <n v="5"/>
    <m/>
    <n v="-5"/>
    <x v="1"/>
    <x v="1"/>
    <x v="1"/>
    <s v="Ground"/>
  </r>
  <r>
    <x v="1"/>
    <x v="171"/>
    <n v="5"/>
    <m/>
    <n v="-5"/>
    <x v="1"/>
    <x v="1"/>
    <x v="1"/>
    <s v="Ground"/>
  </r>
  <r>
    <x v="1"/>
    <x v="172"/>
    <n v="83.1"/>
    <m/>
    <n v="-83.1"/>
    <x v="6"/>
    <x v="3"/>
    <x v="1"/>
    <s v="Fuel. Co"/>
  </r>
  <r>
    <x v="1"/>
    <x v="172"/>
    <n v="5"/>
    <m/>
    <n v="-5"/>
    <x v="1"/>
    <x v="1"/>
    <x v="1"/>
    <s v="Ground"/>
  </r>
  <r>
    <x v="1"/>
    <x v="173"/>
    <n v="5"/>
    <m/>
    <n v="-5"/>
    <x v="1"/>
    <x v="1"/>
    <x v="1"/>
    <s v="Ground"/>
  </r>
  <r>
    <x v="1"/>
    <x v="174"/>
    <n v="141.1"/>
    <m/>
    <n v="-141.1"/>
    <x v="4"/>
    <x v="2"/>
    <x v="1"/>
    <s v="Green's"/>
  </r>
  <r>
    <x v="1"/>
    <x v="174"/>
    <n v="5"/>
    <m/>
    <n v="-5"/>
    <x v="1"/>
    <x v="1"/>
    <x v="1"/>
    <s v="Ground"/>
  </r>
  <r>
    <x v="1"/>
    <x v="175"/>
    <n v="5"/>
    <m/>
    <n v="-5"/>
    <x v="1"/>
    <x v="1"/>
    <x v="1"/>
    <s v="Ground"/>
  </r>
  <r>
    <x v="1"/>
    <x v="175"/>
    <n v="45.8"/>
    <m/>
    <n v="-45.8"/>
    <x v="7"/>
    <x v="4"/>
    <x v="1"/>
    <s v="Event Cinemas"/>
  </r>
  <r>
    <x v="1"/>
    <x v="175"/>
    <n v="103.80000000000001"/>
    <m/>
    <n v="-103.80000000000001"/>
    <x v="8"/>
    <x v="4"/>
    <x v="1"/>
    <s v="Fashionistas"/>
  </r>
  <r>
    <x v="1"/>
    <x v="175"/>
    <n v="58"/>
    <m/>
    <n v="-58"/>
    <x v="9"/>
    <x v="1"/>
    <x v="1"/>
    <s v="Joe's Grill"/>
  </r>
  <r>
    <x v="1"/>
    <x v="176"/>
    <n v="34.200000000000003"/>
    <m/>
    <n v="-34.200000000000003"/>
    <x v="10"/>
    <x v="3"/>
    <x v="1"/>
    <s v="Taxi Co."/>
  </r>
  <r>
    <x v="0"/>
    <x v="177"/>
    <n v="30"/>
    <m/>
    <n v="-30"/>
    <x v="11"/>
    <x v="4"/>
    <x v="1"/>
    <s v="Muscle Beach"/>
  </r>
  <r>
    <x v="1"/>
    <x v="177"/>
    <n v="5"/>
    <m/>
    <n v="-5"/>
    <x v="1"/>
    <x v="1"/>
    <x v="1"/>
    <s v="Ground"/>
  </r>
  <r>
    <x v="1"/>
    <x v="178"/>
    <n v="5"/>
    <m/>
    <n v="-5"/>
    <x v="1"/>
    <x v="1"/>
    <x v="1"/>
    <s v="Ground"/>
  </r>
  <r>
    <x v="0"/>
    <x v="178"/>
    <n v="40"/>
    <m/>
    <n v="-40"/>
    <x v="13"/>
    <x v="2"/>
    <x v="1"/>
    <s v="Phone Co."/>
  </r>
  <r>
    <x v="1"/>
    <x v="179"/>
    <n v="51.1"/>
    <m/>
    <n v="-51.1"/>
    <x v="14"/>
    <x v="4"/>
    <x v="1"/>
    <s v="Sam's Gifts"/>
  </r>
  <r>
    <x v="1"/>
    <x v="179"/>
    <n v="35"/>
    <m/>
    <n v="-35"/>
    <x v="7"/>
    <x v="4"/>
    <x v="1"/>
    <s v="Streaming Co."/>
  </r>
  <r>
    <x v="1"/>
    <x v="179"/>
    <n v="5"/>
    <m/>
    <n v="-5"/>
    <x v="1"/>
    <x v="1"/>
    <x v="1"/>
    <s v="Ground"/>
  </r>
  <r>
    <x v="1"/>
    <x v="180"/>
    <n v="5"/>
    <m/>
    <n v="-5"/>
    <x v="1"/>
    <x v="1"/>
    <x v="1"/>
    <s v="Ground"/>
  </r>
  <r>
    <x v="1"/>
    <x v="181"/>
    <n v="5"/>
    <m/>
    <n v="-5"/>
    <x v="1"/>
    <x v="1"/>
    <x v="1"/>
    <s v="Ground"/>
  </r>
  <r>
    <x v="1"/>
    <x v="181"/>
    <n v="176"/>
    <m/>
    <n v="-176"/>
    <x v="4"/>
    <x v="2"/>
    <x v="1"/>
    <s v="Green's"/>
  </r>
  <r>
    <x v="1"/>
    <x v="182"/>
    <n v="43.1"/>
    <m/>
    <n v="-43.1"/>
    <x v="9"/>
    <x v="1"/>
    <x v="1"/>
    <s v="Pizza Pomodoro"/>
  </r>
  <r>
    <x v="1"/>
    <x v="183"/>
    <n v="18.2"/>
    <m/>
    <n v="-18.2"/>
    <x v="9"/>
    <x v="1"/>
    <x v="1"/>
    <s v="Golden Arches"/>
  </r>
  <r>
    <x v="0"/>
    <x v="184"/>
    <n v="55"/>
    <m/>
    <n v="-55"/>
    <x v="15"/>
    <x v="6"/>
    <x v="1"/>
    <s v="Worldvision"/>
  </r>
  <r>
    <x v="1"/>
    <x v="184"/>
    <n v="68.800000000000011"/>
    <m/>
    <n v="-68.800000000000011"/>
    <x v="6"/>
    <x v="3"/>
    <x v="1"/>
    <s v="Fuel. Co"/>
  </r>
  <r>
    <x v="1"/>
    <x v="184"/>
    <n v="5"/>
    <m/>
    <n v="-5"/>
    <x v="1"/>
    <x v="1"/>
    <x v="1"/>
    <s v="Ground"/>
  </r>
  <r>
    <x v="1"/>
    <x v="185"/>
    <n v="5"/>
    <m/>
    <n v="-5"/>
    <x v="1"/>
    <x v="1"/>
    <x v="1"/>
    <s v="Ground"/>
  </r>
  <r>
    <x v="1"/>
    <x v="186"/>
    <n v="5"/>
    <m/>
    <n v="-5"/>
    <x v="1"/>
    <x v="1"/>
    <x v="1"/>
    <s v="Ground"/>
  </r>
  <r>
    <x v="1"/>
    <x v="187"/>
    <n v="5"/>
    <m/>
    <n v="-5"/>
    <x v="1"/>
    <x v="1"/>
    <x v="1"/>
    <s v="Ground"/>
  </r>
  <r>
    <x v="1"/>
    <x v="188"/>
    <n v="5"/>
    <m/>
    <n v="-5"/>
    <x v="1"/>
    <x v="1"/>
    <x v="1"/>
    <s v="Ground"/>
  </r>
  <r>
    <x v="1"/>
    <x v="188"/>
    <n v="193"/>
    <m/>
    <n v="-193"/>
    <x v="4"/>
    <x v="2"/>
    <x v="1"/>
    <s v="Green's"/>
  </r>
  <r>
    <x v="1"/>
    <x v="189"/>
    <n v="130.80000000000001"/>
    <m/>
    <n v="-130.80000000000001"/>
    <x v="8"/>
    <x v="4"/>
    <x v="1"/>
    <s v="Ted's Trainers"/>
  </r>
  <r>
    <x v="1"/>
    <x v="189"/>
    <n v="181.39999999999998"/>
    <m/>
    <n v="-181.39999999999998"/>
    <x v="17"/>
    <x v="4"/>
    <x v="1"/>
    <s v="Home Decorator"/>
  </r>
  <r>
    <x v="1"/>
    <x v="190"/>
    <n v="151.19999999999999"/>
    <m/>
    <n v="-151.19999999999999"/>
    <x v="8"/>
    <x v="4"/>
    <x v="1"/>
    <s v="Fashionistas"/>
  </r>
  <r>
    <x v="1"/>
    <x v="190"/>
    <n v="29.300000000000004"/>
    <m/>
    <n v="-29.300000000000004"/>
    <x v="10"/>
    <x v="3"/>
    <x v="1"/>
    <s v="Taxi Co."/>
  </r>
  <r>
    <x v="1"/>
    <x v="190"/>
    <n v="15"/>
    <m/>
    <n v="-15"/>
    <x v="9"/>
    <x v="1"/>
    <x v="1"/>
    <s v="Foodary"/>
  </r>
  <r>
    <x v="1"/>
    <x v="191"/>
    <n v="5"/>
    <m/>
    <n v="-5"/>
    <x v="1"/>
    <x v="1"/>
    <x v="1"/>
    <s v="Ground"/>
  </r>
  <r>
    <x v="1"/>
    <x v="192"/>
    <n v="5"/>
    <m/>
    <n v="-5"/>
    <x v="1"/>
    <x v="1"/>
    <x v="1"/>
    <s v="Ground"/>
  </r>
  <r>
    <x v="0"/>
    <x v="192"/>
    <m/>
    <n v="4000"/>
    <n v="4000"/>
    <x v="0"/>
    <x v="0"/>
    <x v="0"/>
    <s v="ACME Pty Ltd"/>
  </r>
  <r>
    <x v="1"/>
    <x v="193"/>
    <n v="5"/>
    <m/>
    <n v="-5"/>
    <x v="1"/>
    <x v="1"/>
    <x v="1"/>
    <s v="Ground"/>
  </r>
  <r>
    <x v="0"/>
    <x v="194"/>
    <n v="900"/>
    <m/>
    <n v="-900"/>
    <x v="2"/>
    <x v="2"/>
    <x v="1"/>
    <s v="Estate Mgt."/>
  </r>
  <r>
    <x v="0"/>
    <x v="194"/>
    <n v="150"/>
    <m/>
    <n v="-150"/>
    <x v="3"/>
    <x v="3"/>
    <x v="1"/>
    <s v="Finance Co."/>
  </r>
  <r>
    <x v="1"/>
    <x v="194"/>
    <n v="5"/>
    <m/>
    <n v="-5"/>
    <x v="1"/>
    <x v="1"/>
    <x v="1"/>
    <s v="Ground"/>
  </r>
  <r>
    <x v="1"/>
    <x v="194"/>
    <n v="5"/>
    <m/>
    <n v="-5"/>
    <x v="1"/>
    <x v="1"/>
    <x v="1"/>
    <s v="Ground"/>
  </r>
  <r>
    <x v="1"/>
    <x v="195"/>
    <n v="5"/>
    <m/>
    <n v="-5"/>
    <x v="1"/>
    <x v="1"/>
    <x v="1"/>
    <s v="Ground"/>
  </r>
  <r>
    <x v="1"/>
    <x v="196"/>
    <n v="5"/>
    <m/>
    <n v="-5"/>
    <x v="1"/>
    <x v="1"/>
    <x v="1"/>
    <s v="Ground"/>
  </r>
  <r>
    <x v="1"/>
    <x v="196"/>
    <n v="137"/>
    <m/>
    <n v="-137"/>
    <x v="4"/>
    <x v="2"/>
    <x v="1"/>
    <s v="Green's"/>
  </r>
  <r>
    <x v="0"/>
    <x v="197"/>
    <n v="57"/>
    <m/>
    <n v="-57"/>
    <x v="5"/>
    <x v="2"/>
    <x v="1"/>
    <s v="Elec. Co."/>
  </r>
  <r>
    <x v="1"/>
    <x v="197"/>
    <n v="5"/>
    <m/>
    <n v="-5"/>
    <x v="1"/>
    <x v="1"/>
    <x v="1"/>
    <s v="Ground"/>
  </r>
  <r>
    <x v="1"/>
    <x v="198"/>
    <n v="5"/>
    <m/>
    <n v="-5"/>
    <x v="1"/>
    <x v="1"/>
    <x v="1"/>
    <s v="Ground"/>
  </r>
  <r>
    <x v="1"/>
    <x v="199"/>
    <n v="84.199999999999989"/>
    <m/>
    <n v="-84.199999999999989"/>
    <x v="6"/>
    <x v="3"/>
    <x v="1"/>
    <s v="Fuel. Co"/>
  </r>
  <r>
    <x v="1"/>
    <x v="199"/>
    <n v="5"/>
    <m/>
    <n v="-5"/>
    <x v="1"/>
    <x v="1"/>
    <x v="1"/>
    <s v="Ground"/>
  </r>
  <r>
    <x v="1"/>
    <x v="200"/>
    <n v="5"/>
    <m/>
    <n v="-5"/>
    <x v="1"/>
    <x v="1"/>
    <x v="1"/>
    <s v="Ground"/>
  </r>
  <r>
    <x v="1"/>
    <x v="201"/>
    <n v="142.1"/>
    <m/>
    <n v="-142.1"/>
    <x v="4"/>
    <x v="2"/>
    <x v="1"/>
    <s v="Green's"/>
  </r>
  <r>
    <x v="1"/>
    <x v="201"/>
    <n v="5"/>
    <m/>
    <n v="-5"/>
    <x v="1"/>
    <x v="1"/>
    <x v="1"/>
    <s v="Ground"/>
  </r>
  <r>
    <x v="1"/>
    <x v="202"/>
    <n v="5"/>
    <m/>
    <n v="-5"/>
    <x v="1"/>
    <x v="1"/>
    <x v="1"/>
    <s v="Ground"/>
  </r>
  <r>
    <x v="1"/>
    <x v="202"/>
    <n v="46.8"/>
    <m/>
    <n v="-46.8"/>
    <x v="7"/>
    <x v="4"/>
    <x v="1"/>
    <s v="Event Cinemas"/>
  </r>
  <r>
    <x v="1"/>
    <x v="202"/>
    <n v="104.70000000000002"/>
    <m/>
    <n v="-104.70000000000002"/>
    <x v="8"/>
    <x v="4"/>
    <x v="1"/>
    <s v="Fashionistas"/>
  </r>
  <r>
    <x v="1"/>
    <x v="202"/>
    <n v="59.1"/>
    <m/>
    <n v="-59.1"/>
    <x v="9"/>
    <x v="1"/>
    <x v="1"/>
    <s v="Joe's Grill"/>
  </r>
  <r>
    <x v="1"/>
    <x v="203"/>
    <n v="35.1"/>
    <m/>
    <n v="-35.1"/>
    <x v="10"/>
    <x v="3"/>
    <x v="1"/>
    <s v="Taxi Co."/>
  </r>
  <r>
    <x v="0"/>
    <x v="204"/>
    <n v="30"/>
    <m/>
    <n v="-30"/>
    <x v="11"/>
    <x v="4"/>
    <x v="1"/>
    <s v="Muscle Beach"/>
  </r>
  <r>
    <x v="1"/>
    <x v="204"/>
    <n v="5"/>
    <m/>
    <n v="-5"/>
    <x v="1"/>
    <x v="1"/>
    <x v="1"/>
    <s v="Ground"/>
  </r>
  <r>
    <x v="1"/>
    <x v="205"/>
    <n v="5"/>
    <m/>
    <n v="-5"/>
    <x v="1"/>
    <x v="1"/>
    <x v="1"/>
    <s v="Ground"/>
  </r>
  <r>
    <x v="0"/>
    <x v="205"/>
    <n v="40"/>
    <m/>
    <n v="-40"/>
    <x v="13"/>
    <x v="2"/>
    <x v="1"/>
    <s v="Phone Co."/>
  </r>
  <r>
    <x v="1"/>
    <x v="206"/>
    <n v="52.1"/>
    <m/>
    <n v="-52.1"/>
    <x v="14"/>
    <x v="4"/>
    <x v="1"/>
    <s v="Sam's Gifts"/>
  </r>
  <r>
    <x v="1"/>
    <x v="206"/>
    <n v="35"/>
    <m/>
    <n v="-35"/>
    <x v="7"/>
    <x v="4"/>
    <x v="1"/>
    <s v="Streaming Co."/>
  </r>
  <r>
    <x v="1"/>
    <x v="206"/>
    <n v="5"/>
    <m/>
    <n v="-5"/>
    <x v="1"/>
    <x v="1"/>
    <x v="1"/>
    <s v="Ground"/>
  </r>
  <r>
    <x v="1"/>
    <x v="207"/>
    <n v="5"/>
    <m/>
    <n v="-5"/>
    <x v="1"/>
    <x v="1"/>
    <x v="1"/>
    <s v="Ground"/>
  </r>
  <r>
    <x v="1"/>
    <x v="208"/>
    <n v="5"/>
    <m/>
    <n v="-5"/>
    <x v="1"/>
    <x v="1"/>
    <x v="1"/>
    <s v="Ground"/>
  </r>
  <r>
    <x v="1"/>
    <x v="208"/>
    <n v="177"/>
    <m/>
    <n v="-177"/>
    <x v="4"/>
    <x v="2"/>
    <x v="1"/>
    <s v="Green's"/>
  </r>
  <r>
    <x v="1"/>
    <x v="209"/>
    <n v="44.2"/>
    <m/>
    <n v="-44.2"/>
    <x v="9"/>
    <x v="1"/>
    <x v="1"/>
    <s v="Pizza Pomodoro"/>
  </r>
  <r>
    <x v="1"/>
    <x v="210"/>
    <n v="19.2"/>
    <m/>
    <n v="-19.2"/>
    <x v="9"/>
    <x v="1"/>
    <x v="1"/>
    <s v="Golden Arches"/>
  </r>
  <r>
    <x v="0"/>
    <x v="211"/>
    <n v="55"/>
    <m/>
    <n v="-55"/>
    <x v="15"/>
    <x v="6"/>
    <x v="1"/>
    <s v="Worldvision"/>
  </r>
  <r>
    <x v="1"/>
    <x v="211"/>
    <n v="69.700000000000017"/>
    <m/>
    <n v="-69.700000000000017"/>
    <x v="6"/>
    <x v="3"/>
    <x v="1"/>
    <s v="Fuel. Co"/>
  </r>
  <r>
    <x v="1"/>
    <x v="211"/>
    <n v="5"/>
    <m/>
    <n v="-5"/>
    <x v="1"/>
    <x v="1"/>
    <x v="1"/>
    <s v="Ground"/>
  </r>
  <r>
    <x v="1"/>
    <x v="212"/>
    <n v="5"/>
    <m/>
    <n v="-5"/>
    <x v="1"/>
    <x v="1"/>
    <x v="1"/>
    <s v="Ground"/>
  </r>
  <r>
    <x v="1"/>
    <x v="213"/>
    <n v="5"/>
    <m/>
    <n v="-5"/>
    <x v="1"/>
    <x v="1"/>
    <x v="1"/>
    <s v="Ground"/>
  </r>
  <r>
    <x v="1"/>
    <x v="214"/>
    <n v="5"/>
    <m/>
    <n v="-5"/>
    <x v="1"/>
    <x v="1"/>
    <x v="1"/>
    <s v="Ground"/>
  </r>
  <r>
    <x v="1"/>
    <x v="215"/>
    <n v="5"/>
    <m/>
    <n v="-5"/>
    <x v="1"/>
    <x v="1"/>
    <x v="1"/>
    <s v="Ground"/>
  </r>
  <r>
    <x v="1"/>
    <x v="215"/>
    <n v="117"/>
    <m/>
    <n v="-117"/>
    <x v="4"/>
    <x v="2"/>
    <x v="1"/>
    <s v="Green's"/>
  </r>
  <r>
    <x v="1"/>
    <x v="216"/>
    <n v="131.9"/>
    <m/>
    <n v="-131.9"/>
    <x v="8"/>
    <x v="4"/>
    <x v="1"/>
    <s v="Ted's Trainers"/>
  </r>
  <r>
    <x v="1"/>
    <x v="216"/>
    <n v="182.39999999999998"/>
    <m/>
    <n v="-182.39999999999998"/>
    <x v="7"/>
    <x v="4"/>
    <x v="1"/>
    <s v="Ticketek"/>
  </r>
  <r>
    <x v="1"/>
    <x v="217"/>
    <n v="152.29999999999998"/>
    <m/>
    <n v="-152.29999999999998"/>
    <x v="8"/>
    <x v="4"/>
    <x v="1"/>
    <s v="Fashionistas"/>
  </r>
  <r>
    <x v="1"/>
    <x v="217"/>
    <n v="30.300000000000004"/>
    <m/>
    <n v="-30.300000000000004"/>
    <x v="10"/>
    <x v="3"/>
    <x v="1"/>
    <s v="Taxi Co."/>
  </r>
  <r>
    <x v="1"/>
    <x v="217"/>
    <n v="15"/>
    <m/>
    <n v="-15"/>
    <x v="9"/>
    <x v="1"/>
    <x v="1"/>
    <s v="Foodary"/>
  </r>
  <r>
    <x v="1"/>
    <x v="218"/>
    <n v="5"/>
    <m/>
    <n v="-5"/>
    <x v="1"/>
    <x v="1"/>
    <x v="1"/>
    <s v="Ground"/>
  </r>
  <r>
    <x v="1"/>
    <x v="219"/>
    <n v="5"/>
    <m/>
    <n v="-5"/>
    <x v="1"/>
    <x v="1"/>
    <x v="1"/>
    <s v="Ground"/>
  </r>
  <r>
    <x v="0"/>
    <x v="219"/>
    <m/>
    <n v="4000"/>
    <n v="4000"/>
    <x v="0"/>
    <x v="0"/>
    <x v="0"/>
    <s v="ACME Pty Ltd"/>
  </r>
  <r>
    <x v="1"/>
    <x v="220"/>
    <n v="5"/>
    <m/>
    <n v="-5"/>
    <x v="1"/>
    <x v="1"/>
    <x v="1"/>
    <s v="Ground"/>
  </r>
  <r>
    <x v="0"/>
    <x v="221"/>
    <n v="900"/>
    <m/>
    <n v="-900"/>
    <x v="2"/>
    <x v="2"/>
    <x v="1"/>
    <s v="Estate Mgt."/>
  </r>
  <r>
    <x v="0"/>
    <x v="221"/>
    <n v="150"/>
    <m/>
    <n v="-150"/>
    <x v="3"/>
    <x v="3"/>
    <x v="1"/>
    <s v="Finance Co."/>
  </r>
  <r>
    <x v="1"/>
    <x v="221"/>
    <n v="5"/>
    <m/>
    <n v="-5"/>
    <x v="1"/>
    <x v="1"/>
    <x v="1"/>
    <s v="Ground"/>
  </r>
  <r>
    <x v="1"/>
    <x v="221"/>
    <n v="5"/>
    <m/>
    <n v="-5"/>
    <x v="1"/>
    <x v="1"/>
    <x v="1"/>
    <s v="Ground"/>
  </r>
  <r>
    <x v="1"/>
    <x v="222"/>
    <n v="5"/>
    <m/>
    <n v="-5"/>
    <x v="1"/>
    <x v="1"/>
    <x v="1"/>
    <s v="Ground"/>
  </r>
  <r>
    <x v="1"/>
    <x v="223"/>
    <n v="5"/>
    <m/>
    <n v="-5"/>
    <x v="1"/>
    <x v="1"/>
    <x v="1"/>
    <s v="Ground"/>
  </r>
  <r>
    <x v="1"/>
    <x v="223"/>
    <n v="163.39999999999998"/>
    <m/>
    <n v="-163.39999999999998"/>
    <x v="4"/>
    <x v="2"/>
    <x v="1"/>
    <s v="Green's"/>
  </r>
  <r>
    <x v="0"/>
    <x v="224"/>
    <n v="58.1"/>
    <m/>
    <n v="-58.1"/>
    <x v="5"/>
    <x v="2"/>
    <x v="1"/>
    <s v="Elec. Co."/>
  </r>
  <r>
    <x v="1"/>
    <x v="224"/>
    <n v="5"/>
    <m/>
    <n v="-5"/>
    <x v="1"/>
    <x v="1"/>
    <x v="1"/>
    <s v="Ground"/>
  </r>
  <r>
    <x v="1"/>
    <x v="225"/>
    <n v="5"/>
    <m/>
    <n v="-5"/>
    <x v="1"/>
    <x v="1"/>
    <x v="1"/>
    <s v="Ground"/>
  </r>
  <r>
    <x v="1"/>
    <x v="226"/>
    <n v="85.299999999999983"/>
    <m/>
    <n v="-85.299999999999983"/>
    <x v="6"/>
    <x v="3"/>
    <x v="1"/>
    <s v="Fuel. Co"/>
  </r>
  <r>
    <x v="1"/>
    <x v="226"/>
    <n v="5"/>
    <m/>
    <n v="-5"/>
    <x v="1"/>
    <x v="1"/>
    <x v="1"/>
    <s v="Ground"/>
  </r>
  <r>
    <x v="1"/>
    <x v="227"/>
    <n v="5"/>
    <m/>
    <n v="-5"/>
    <x v="1"/>
    <x v="1"/>
    <x v="1"/>
    <s v="Ground"/>
  </r>
  <r>
    <x v="1"/>
    <x v="228"/>
    <n v="143"/>
    <m/>
    <n v="-143"/>
    <x v="4"/>
    <x v="2"/>
    <x v="1"/>
    <s v="Green's"/>
  </r>
  <r>
    <x v="1"/>
    <x v="228"/>
    <n v="5"/>
    <m/>
    <n v="-5"/>
    <x v="1"/>
    <x v="1"/>
    <x v="1"/>
    <s v="Ground"/>
  </r>
  <r>
    <x v="1"/>
    <x v="229"/>
    <n v="5"/>
    <m/>
    <n v="-5"/>
    <x v="1"/>
    <x v="1"/>
    <x v="1"/>
    <s v="Ground"/>
  </r>
  <r>
    <x v="1"/>
    <x v="229"/>
    <n v="47.8"/>
    <m/>
    <n v="-47.8"/>
    <x v="7"/>
    <x v="4"/>
    <x v="1"/>
    <s v="Event Cinemas"/>
  </r>
  <r>
    <x v="1"/>
    <x v="229"/>
    <n v="105.80000000000001"/>
    <m/>
    <n v="-105.80000000000001"/>
    <x v="8"/>
    <x v="4"/>
    <x v="1"/>
    <s v="Fashionistas"/>
  </r>
  <r>
    <x v="1"/>
    <x v="229"/>
    <n v="60.1"/>
    <m/>
    <n v="-60.1"/>
    <x v="9"/>
    <x v="1"/>
    <x v="1"/>
    <s v="Joe's Grill"/>
  </r>
  <r>
    <x v="1"/>
    <x v="230"/>
    <n v="36.200000000000003"/>
    <m/>
    <n v="-36.200000000000003"/>
    <x v="10"/>
    <x v="3"/>
    <x v="1"/>
    <s v="Taxi Co."/>
  </r>
  <r>
    <x v="0"/>
    <x v="231"/>
    <n v="30"/>
    <m/>
    <n v="-30"/>
    <x v="11"/>
    <x v="4"/>
    <x v="1"/>
    <s v="Muscle Beach"/>
  </r>
  <r>
    <x v="1"/>
    <x v="231"/>
    <n v="5"/>
    <m/>
    <n v="-5"/>
    <x v="1"/>
    <x v="1"/>
    <x v="1"/>
    <s v="Ground"/>
  </r>
  <r>
    <x v="1"/>
    <x v="232"/>
    <n v="5"/>
    <m/>
    <n v="-5"/>
    <x v="1"/>
    <x v="1"/>
    <x v="1"/>
    <s v="Ground"/>
  </r>
  <r>
    <x v="0"/>
    <x v="232"/>
    <n v="40"/>
    <m/>
    <n v="-40"/>
    <x v="13"/>
    <x v="2"/>
    <x v="1"/>
    <s v="Phone Co."/>
  </r>
  <r>
    <x v="1"/>
    <x v="233"/>
    <n v="53"/>
    <m/>
    <n v="-53"/>
    <x v="14"/>
    <x v="4"/>
    <x v="1"/>
    <s v="Sam's Gifts"/>
  </r>
  <r>
    <x v="1"/>
    <x v="233"/>
    <n v="35"/>
    <m/>
    <n v="-35"/>
    <x v="7"/>
    <x v="4"/>
    <x v="1"/>
    <s v="Streaming Co."/>
  </r>
  <r>
    <x v="1"/>
    <x v="233"/>
    <n v="5"/>
    <m/>
    <n v="-5"/>
    <x v="1"/>
    <x v="1"/>
    <x v="1"/>
    <s v="Ground"/>
  </r>
  <r>
    <x v="1"/>
    <x v="234"/>
    <n v="5"/>
    <m/>
    <n v="-5"/>
    <x v="1"/>
    <x v="1"/>
    <x v="1"/>
    <s v="Ground"/>
  </r>
  <r>
    <x v="1"/>
    <x v="235"/>
    <n v="5"/>
    <m/>
    <n v="-5"/>
    <x v="1"/>
    <x v="1"/>
    <x v="1"/>
    <s v="Ground"/>
  </r>
  <r>
    <x v="1"/>
    <x v="235"/>
    <n v="177.9"/>
    <m/>
    <n v="-177.9"/>
    <x v="4"/>
    <x v="2"/>
    <x v="1"/>
    <s v="Green's"/>
  </r>
  <r>
    <x v="1"/>
    <x v="236"/>
    <n v="45.300000000000004"/>
    <m/>
    <n v="-45.300000000000004"/>
    <x v="9"/>
    <x v="1"/>
    <x v="1"/>
    <s v="Pizza Pomodoro"/>
  </r>
  <r>
    <x v="1"/>
    <x v="237"/>
    <n v="20.099999999999998"/>
    <m/>
    <n v="-20.099999999999998"/>
    <x v="9"/>
    <x v="1"/>
    <x v="1"/>
    <s v="Golden Arches"/>
  </r>
  <r>
    <x v="0"/>
    <x v="238"/>
    <n v="55"/>
    <m/>
    <n v="-55"/>
    <x v="15"/>
    <x v="6"/>
    <x v="1"/>
    <s v="Worldvision"/>
  </r>
  <r>
    <x v="1"/>
    <x v="238"/>
    <n v="70.600000000000023"/>
    <m/>
    <n v="-70.600000000000023"/>
    <x v="6"/>
    <x v="3"/>
    <x v="1"/>
    <s v="Fuel. Co"/>
  </r>
  <r>
    <x v="1"/>
    <x v="238"/>
    <n v="5"/>
    <m/>
    <n v="-5"/>
    <x v="1"/>
    <x v="1"/>
    <x v="1"/>
    <s v="Ground"/>
  </r>
  <r>
    <x v="1"/>
    <x v="239"/>
    <n v="5"/>
    <m/>
    <n v="-5"/>
    <x v="1"/>
    <x v="1"/>
    <x v="1"/>
    <s v="Ground"/>
  </r>
  <r>
    <x v="1"/>
    <x v="240"/>
    <n v="5"/>
    <m/>
    <n v="-5"/>
    <x v="1"/>
    <x v="1"/>
    <x v="1"/>
    <s v="Ground"/>
  </r>
  <r>
    <x v="1"/>
    <x v="241"/>
    <n v="5"/>
    <m/>
    <n v="-5"/>
    <x v="1"/>
    <x v="1"/>
    <x v="1"/>
    <s v="Ground"/>
  </r>
  <r>
    <x v="1"/>
    <x v="242"/>
    <n v="5"/>
    <m/>
    <n v="-5"/>
    <x v="1"/>
    <x v="1"/>
    <x v="1"/>
    <s v="Ground"/>
  </r>
  <r>
    <x v="1"/>
    <x v="242"/>
    <n v="223"/>
    <m/>
    <n v="-223"/>
    <x v="4"/>
    <x v="2"/>
    <x v="1"/>
    <s v="Green's"/>
  </r>
  <r>
    <x v="1"/>
    <x v="243"/>
    <n v="132.9"/>
    <m/>
    <n v="-132.9"/>
    <x v="8"/>
    <x v="4"/>
    <x v="1"/>
    <s v="Ted's Trainers"/>
  </r>
  <r>
    <x v="1"/>
    <x v="243"/>
    <n v="175"/>
    <m/>
    <n v="-175"/>
    <x v="8"/>
    <x v="4"/>
    <x v="1"/>
    <s v="Global Fashion"/>
  </r>
  <r>
    <x v="1"/>
    <x v="244"/>
    <n v="153.39999999999998"/>
    <m/>
    <n v="-153.39999999999998"/>
    <x v="8"/>
    <x v="4"/>
    <x v="1"/>
    <s v="Fashionistas"/>
  </r>
  <r>
    <x v="1"/>
    <x v="244"/>
    <n v="31.200000000000003"/>
    <m/>
    <n v="-31.200000000000003"/>
    <x v="10"/>
    <x v="3"/>
    <x v="1"/>
    <s v="Taxi Co."/>
  </r>
  <r>
    <x v="1"/>
    <x v="244"/>
    <n v="15"/>
    <m/>
    <n v="-15"/>
    <x v="9"/>
    <x v="1"/>
    <x v="1"/>
    <s v="Foodary"/>
  </r>
  <r>
    <x v="1"/>
    <x v="245"/>
    <n v="5"/>
    <m/>
    <n v="-5"/>
    <x v="1"/>
    <x v="1"/>
    <x v="1"/>
    <s v="Ground"/>
  </r>
  <r>
    <x v="1"/>
    <x v="246"/>
    <n v="5"/>
    <m/>
    <n v="-5"/>
    <x v="1"/>
    <x v="1"/>
    <x v="1"/>
    <s v="Ground"/>
  </r>
  <r>
    <x v="0"/>
    <x v="246"/>
    <m/>
    <n v="4000"/>
    <n v="4000"/>
    <x v="0"/>
    <x v="0"/>
    <x v="0"/>
    <s v="ACME Pty Ltd"/>
  </r>
  <r>
    <x v="1"/>
    <x v="247"/>
    <n v="5"/>
    <m/>
    <n v="-5"/>
    <x v="1"/>
    <x v="1"/>
    <x v="1"/>
    <s v="Ground"/>
  </r>
  <r>
    <x v="0"/>
    <x v="248"/>
    <n v="900"/>
    <m/>
    <n v="-900"/>
    <x v="2"/>
    <x v="2"/>
    <x v="1"/>
    <s v="Estate Mgt."/>
  </r>
  <r>
    <x v="0"/>
    <x v="248"/>
    <n v="150"/>
    <m/>
    <n v="-150"/>
    <x v="3"/>
    <x v="3"/>
    <x v="1"/>
    <s v="Finance Co."/>
  </r>
  <r>
    <x v="1"/>
    <x v="248"/>
    <n v="5"/>
    <m/>
    <n v="-5"/>
    <x v="1"/>
    <x v="1"/>
    <x v="1"/>
    <s v="Ground"/>
  </r>
  <r>
    <x v="1"/>
    <x v="248"/>
    <n v="5"/>
    <m/>
    <n v="-5"/>
    <x v="1"/>
    <x v="1"/>
    <x v="1"/>
    <s v="Ground"/>
  </r>
  <r>
    <x v="1"/>
    <x v="249"/>
    <n v="5"/>
    <m/>
    <n v="-5"/>
    <x v="1"/>
    <x v="1"/>
    <x v="1"/>
    <s v="Ground"/>
  </r>
  <r>
    <x v="1"/>
    <x v="250"/>
    <n v="5"/>
    <m/>
    <n v="-5"/>
    <x v="1"/>
    <x v="1"/>
    <x v="1"/>
    <s v="Ground"/>
  </r>
  <r>
    <x v="1"/>
    <x v="250"/>
    <n v="105"/>
    <m/>
    <n v="-105"/>
    <x v="4"/>
    <x v="2"/>
    <x v="1"/>
    <s v="Green's"/>
  </r>
  <r>
    <x v="0"/>
    <x v="251"/>
    <n v="59"/>
    <m/>
    <n v="-59"/>
    <x v="5"/>
    <x v="2"/>
    <x v="1"/>
    <s v="Elec. Co."/>
  </r>
  <r>
    <x v="1"/>
    <x v="251"/>
    <n v="5"/>
    <m/>
    <n v="-5"/>
    <x v="1"/>
    <x v="1"/>
    <x v="1"/>
    <s v="Ground"/>
  </r>
  <r>
    <x v="1"/>
    <x v="252"/>
    <n v="5"/>
    <m/>
    <n v="-5"/>
    <x v="1"/>
    <x v="1"/>
    <x v="1"/>
    <s v="Ground"/>
  </r>
  <r>
    <x v="1"/>
    <x v="253"/>
    <n v="86.399999999999977"/>
    <m/>
    <n v="-86.399999999999977"/>
    <x v="6"/>
    <x v="3"/>
    <x v="1"/>
    <s v="Fuel. Co"/>
  </r>
  <r>
    <x v="1"/>
    <x v="253"/>
    <n v="5"/>
    <m/>
    <n v="-5"/>
    <x v="1"/>
    <x v="1"/>
    <x v="1"/>
    <s v="Ground"/>
  </r>
  <r>
    <x v="1"/>
    <x v="254"/>
    <n v="5"/>
    <m/>
    <n v="-5"/>
    <x v="1"/>
    <x v="1"/>
    <x v="1"/>
    <s v="Ground"/>
  </r>
  <r>
    <x v="1"/>
    <x v="255"/>
    <n v="143.9"/>
    <m/>
    <n v="-143.9"/>
    <x v="4"/>
    <x v="2"/>
    <x v="1"/>
    <s v="Green's"/>
  </r>
  <r>
    <x v="1"/>
    <x v="255"/>
    <n v="5"/>
    <m/>
    <n v="-5"/>
    <x v="1"/>
    <x v="1"/>
    <x v="1"/>
    <s v="Ground"/>
  </r>
  <r>
    <x v="1"/>
    <x v="256"/>
    <n v="5"/>
    <m/>
    <n v="-5"/>
    <x v="1"/>
    <x v="1"/>
    <x v="1"/>
    <s v="Ground"/>
  </r>
  <r>
    <x v="1"/>
    <x v="256"/>
    <n v="48.8"/>
    <m/>
    <n v="-48.8"/>
    <x v="7"/>
    <x v="4"/>
    <x v="1"/>
    <s v="Event Cinemas"/>
  </r>
  <r>
    <x v="1"/>
    <x v="256"/>
    <n v="106.70000000000002"/>
    <m/>
    <n v="-106.70000000000002"/>
    <x v="8"/>
    <x v="4"/>
    <x v="1"/>
    <s v="Fashionistas"/>
  </r>
  <r>
    <x v="1"/>
    <x v="256"/>
    <n v="61.1"/>
    <m/>
    <n v="-61.1"/>
    <x v="9"/>
    <x v="1"/>
    <x v="1"/>
    <s v="Joe's Grill"/>
  </r>
  <r>
    <x v="1"/>
    <x v="257"/>
    <n v="37.200000000000003"/>
    <m/>
    <n v="-37.200000000000003"/>
    <x v="10"/>
    <x v="3"/>
    <x v="1"/>
    <s v="Taxi Co."/>
  </r>
  <r>
    <x v="0"/>
    <x v="258"/>
    <n v="30"/>
    <m/>
    <n v="-30"/>
    <x v="11"/>
    <x v="4"/>
    <x v="1"/>
    <s v="Muscle Beach"/>
  </r>
  <r>
    <x v="1"/>
    <x v="258"/>
    <n v="5"/>
    <m/>
    <n v="-5"/>
    <x v="1"/>
    <x v="1"/>
    <x v="1"/>
    <s v="Ground"/>
  </r>
  <r>
    <x v="1"/>
    <x v="259"/>
    <n v="5"/>
    <m/>
    <n v="-5"/>
    <x v="1"/>
    <x v="1"/>
    <x v="1"/>
    <s v="Ground"/>
  </r>
  <r>
    <x v="0"/>
    <x v="259"/>
    <n v="75"/>
    <m/>
    <n v="-75"/>
    <x v="16"/>
    <x v="5"/>
    <x v="1"/>
    <s v="Village Medical"/>
  </r>
  <r>
    <x v="0"/>
    <x v="259"/>
    <n v="40"/>
    <m/>
    <n v="-40"/>
    <x v="13"/>
    <x v="2"/>
    <x v="1"/>
    <s v="Phone Co."/>
  </r>
  <r>
    <x v="1"/>
    <x v="260"/>
    <n v="54.1"/>
    <m/>
    <n v="-54.1"/>
    <x v="14"/>
    <x v="4"/>
    <x v="1"/>
    <s v="Sam's Gifts"/>
  </r>
  <r>
    <x v="1"/>
    <x v="260"/>
    <n v="35"/>
    <m/>
    <n v="-35"/>
    <x v="7"/>
    <x v="4"/>
    <x v="1"/>
    <s v="Streaming Co."/>
  </r>
  <r>
    <x v="1"/>
    <x v="260"/>
    <n v="5"/>
    <m/>
    <n v="-5"/>
    <x v="1"/>
    <x v="1"/>
    <x v="1"/>
    <s v="Ground"/>
  </r>
  <r>
    <x v="1"/>
    <x v="261"/>
    <n v="5"/>
    <m/>
    <n v="-5"/>
    <x v="1"/>
    <x v="1"/>
    <x v="1"/>
    <s v="Ground"/>
  </r>
  <r>
    <x v="1"/>
    <x v="262"/>
    <n v="5"/>
    <m/>
    <n v="-5"/>
    <x v="1"/>
    <x v="1"/>
    <x v="1"/>
    <s v="Ground"/>
  </r>
  <r>
    <x v="1"/>
    <x v="262"/>
    <n v="178.9"/>
    <m/>
    <n v="-178.9"/>
    <x v="4"/>
    <x v="2"/>
    <x v="1"/>
    <s v="Green's"/>
  </r>
  <r>
    <x v="1"/>
    <x v="263"/>
    <n v="46.2"/>
    <m/>
    <n v="-46.2"/>
    <x v="9"/>
    <x v="1"/>
    <x v="1"/>
    <s v="Pizza Pomodoro"/>
  </r>
  <r>
    <x v="1"/>
    <x v="264"/>
    <n v="21.099999999999998"/>
    <m/>
    <n v="-21.099999999999998"/>
    <x v="9"/>
    <x v="1"/>
    <x v="1"/>
    <s v="Golden Arches"/>
  </r>
  <r>
    <x v="0"/>
    <x v="265"/>
    <n v="55"/>
    <m/>
    <n v="-55"/>
    <x v="15"/>
    <x v="6"/>
    <x v="1"/>
    <s v="Worldvision"/>
  </r>
  <r>
    <x v="1"/>
    <x v="265"/>
    <n v="71.500000000000028"/>
    <m/>
    <n v="-71.500000000000028"/>
    <x v="6"/>
    <x v="3"/>
    <x v="1"/>
    <s v="Fuel. Co"/>
  </r>
  <r>
    <x v="1"/>
    <x v="265"/>
    <n v="5"/>
    <m/>
    <n v="-5"/>
    <x v="1"/>
    <x v="1"/>
    <x v="1"/>
    <s v="Ground"/>
  </r>
  <r>
    <x v="1"/>
    <x v="266"/>
    <n v="5"/>
    <m/>
    <n v="-5"/>
    <x v="1"/>
    <x v="1"/>
    <x v="1"/>
    <s v="Ground"/>
  </r>
  <r>
    <x v="1"/>
    <x v="267"/>
    <n v="5"/>
    <m/>
    <n v="-5"/>
    <x v="1"/>
    <x v="1"/>
    <x v="1"/>
    <s v="Ground"/>
  </r>
  <r>
    <x v="1"/>
    <x v="268"/>
    <n v="5"/>
    <m/>
    <n v="-5"/>
    <x v="1"/>
    <x v="1"/>
    <x v="1"/>
    <s v="Ground"/>
  </r>
  <r>
    <x v="1"/>
    <x v="269"/>
    <n v="5"/>
    <m/>
    <n v="-5"/>
    <x v="1"/>
    <x v="1"/>
    <x v="1"/>
    <s v="Ground"/>
  </r>
  <r>
    <x v="1"/>
    <x v="269"/>
    <n v="189"/>
    <m/>
    <n v="-189"/>
    <x v="4"/>
    <x v="2"/>
    <x v="1"/>
    <s v="Green's"/>
  </r>
  <r>
    <x v="1"/>
    <x v="270"/>
    <n v="133.80000000000001"/>
    <m/>
    <n v="-133.80000000000001"/>
    <x v="8"/>
    <x v="4"/>
    <x v="1"/>
    <s v="Ted's Trainers"/>
  </r>
  <r>
    <x v="1"/>
    <x v="270"/>
    <n v="184.39999999999998"/>
    <m/>
    <n v="-184.39999999999998"/>
    <x v="7"/>
    <x v="4"/>
    <x v="1"/>
    <s v="Ticketek"/>
  </r>
  <r>
    <x v="1"/>
    <x v="271"/>
    <n v="154.49999999999997"/>
    <m/>
    <n v="-154.49999999999997"/>
    <x v="8"/>
    <x v="4"/>
    <x v="1"/>
    <s v="Fashionistas"/>
  </r>
  <r>
    <x v="1"/>
    <x v="271"/>
    <n v="32.1"/>
    <m/>
    <n v="-32.1"/>
    <x v="10"/>
    <x v="3"/>
    <x v="1"/>
    <s v="Taxi Co."/>
  </r>
  <r>
    <x v="1"/>
    <x v="271"/>
    <n v="15"/>
    <m/>
    <n v="-15"/>
    <x v="9"/>
    <x v="1"/>
    <x v="1"/>
    <s v="Foodar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37C98B-4E99-43C0-A78E-488041FAACE4}" name="PivotTable6"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D17:E28" firstHeaderRow="1" firstDataRow="1" firstDataCol="1"/>
  <pivotFields count="1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items count="8">
        <item x="6"/>
        <item x="1"/>
        <item x="4"/>
        <item x="2"/>
        <item x="5"/>
        <item x="0"/>
        <item x="3"/>
        <item t="default"/>
      </items>
    </pivotField>
    <pivotField showAll="0"/>
    <pivotField showAll="0"/>
    <pivotField dataField="1" dragToRow="0" dragToCol="0" dragToPage="0" showAll="0" defaultSubtotal="0"/>
  </pivotFields>
  <rowFields count="1">
    <field x="1"/>
  </rowFields>
  <rowItems count="11">
    <i>
      <x v="1"/>
    </i>
    <i>
      <x v="2"/>
    </i>
    <i>
      <x v="3"/>
    </i>
    <i>
      <x v="4"/>
    </i>
    <i>
      <x v="5"/>
    </i>
    <i>
      <x v="6"/>
    </i>
    <i>
      <x v="7"/>
    </i>
    <i>
      <x v="8"/>
    </i>
    <i>
      <x v="9"/>
    </i>
    <i>
      <x v="10"/>
    </i>
    <i t="grand">
      <x/>
    </i>
  </rowItems>
  <colItems count="1">
    <i/>
  </colItems>
  <dataFields count="1">
    <dataField name="Sum of Profit" fld="9" baseField="0" baseItem="0" numFmtId="166"/>
  </dataFields>
  <formats count="2">
    <format dxfId="41">
      <pivotArea outline="0" collapsedLevelsAreSubtotals="1" fieldPosition="0"/>
    </format>
    <format dxfId="42">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28F787-CA8E-4173-86DD-635658624BF7}" name="PivotTable5"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D2:E13" firstHeaderRow="1" firstDataRow="1" firstDataCol="1"/>
  <pivotFields count="10">
    <pivotField showAll="0"/>
    <pivotField axis="axisRow"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items count="8">
        <item x="6"/>
        <item x="1"/>
        <item x="4"/>
        <item x="2"/>
        <item x="5"/>
        <item x="0"/>
        <item x="3"/>
        <item t="default"/>
      </items>
    </pivotField>
    <pivotField showAll="0"/>
    <pivotField showAll="0"/>
    <pivotField dragToRow="0" dragToCol="0" dragToPage="0" showAll="0" defaultSubtotal="0"/>
  </pivotFields>
  <rowFields count="1">
    <field x="1"/>
  </rowFields>
  <rowItems count="11">
    <i>
      <x v="1"/>
    </i>
    <i>
      <x v="2"/>
    </i>
    <i>
      <x v="3"/>
    </i>
    <i>
      <x v="4"/>
    </i>
    <i>
      <x v="5"/>
    </i>
    <i>
      <x v="6"/>
    </i>
    <i>
      <x v="7"/>
    </i>
    <i>
      <x v="8"/>
    </i>
    <i>
      <x v="9"/>
    </i>
    <i>
      <x v="10"/>
    </i>
    <i t="grand">
      <x/>
    </i>
  </rowItems>
  <colItems count="1">
    <i/>
  </colItems>
  <dataFields count="1">
    <dataField name="Sum of Debit" fld="2" baseField="0" baseItem="0" numFmtId="166"/>
  </dataFields>
  <formats count="2">
    <format dxfId="43">
      <pivotArea outline="0" collapsedLevelsAreSubtotals="1" fieldPosition="0"/>
    </format>
    <format dxfId="44">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1C3B514-9094-4376-946E-ECB7C32537A8}" name="PivotTable4"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7:B36" firstHeaderRow="1" firstDataRow="1" firstDataCol="1"/>
  <pivotFields count="10">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axis="axisRow" showAll="0">
      <items count="19">
        <item x="8"/>
        <item x="1"/>
        <item x="12"/>
        <item x="16"/>
        <item x="15"/>
        <item x="7"/>
        <item x="17"/>
        <item x="5"/>
        <item x="14"/>
        <item x="4"/>
        <item x="11"/>
        <item x="6"/>
        <item x="3"/>
        <item x="13"/>
        <item x="2"/>
        <item x="9"/>
        <item x="0"/>
        <item x="10"/>
        <item t="default"/>
      </items>
    </pivotField>
    <pivotField showAll="0">
      <items count="8">
        <item x="6"/>
        <item x="1"/>
        <item x="4"/>
        <item x="2"/>
        <item x="5"/>
        <item x="0"/>
        <item x="3"/>
        <item t="default"/>
      </items>
    </pivotField>
    <pivotField showAll="0"/>
    <pivotField showAll="0"/>
    <pivotField dragToRow="0" dragToCol="0" dragToPage="0" showAll="0" defaultSubtotal="0"/>
  </pivotFields>
  <rowFields count="1">
    <field x="5"/>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Debit" fld="2" baseField="0" baseItem="0" numFmtId="166"/>
  </dataFields>
  <formats count="2">
    <format dxfId="45">
      <pivotArea outline="0" collapsedLevelsAreSubtotals="1" fieldPosition="0"/>
    </format>
    <format dxfId="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CC7B0E-F8F5-480B-8352-F5409320A2F1}" name="PivotTable9" cacheId="10" applyNumberFormats="0" applyBorderFormats="0" applyFontFormats="0" applyPatternFormats="0" applyAlignmentFormats="0" applyWidthHeightFormats="1" dataCaption="Values" updatedVersion="7" minRefreshableVersion="3" useAutoFormatting="1" itemPrintTitles="1" mergeItem="1" createdVersion="7" indent="0" compact="0" compactData="0" gridDropZones="1" multipleFieldFilters="0" chartFormat="1">
  <location ref="K19:L28" firstHeaderRow="2" firstDataRow="2" firstDataCol="1"/>
  <pivotFields count="10">
    <pivotField compact="0" outline="0" showAll="0"/>
    <pivotField compact="0" numFmtId="14" outline="0" showAll="0">
      <items count="15">
        <item x="0"/>
        <item x="1"/>
        <item x="2"/>
        <item x="3"/>
        <item x="4"/>
        <item x="5"/>
        <item x="6"/>
        <item x="7"/>
        <item x="8"/>
        <item x="9"/>
        <item x="10"/>
        <item x="11"/>
        <item x="12"/>
        <item x="13"/>
        <item t="default"/>
      </items>
    </pivotField>
    <pivotField compact="0" outline="0" showAll="0"/>
    <pivotField compact="0" outline="0" showAll="0"/>
    <pivotField dataField="1" compact="0" outline="0" showAll="0"/>
    <pivotField compact="0" outline="0" showAll="0">
      <items count="19">
        <item x="8"/>
        <item x="1"/>
        <item x="12"/>
        <item x="16"/>
        <item x="15"/>
        <item x="7"/>
        <item x="17"/>
        <item x="5"/>
        <item x="14"/>
        <item x="4"/>
        <item x="11"/>
        <item x="6"/>
        <item x="3"/>
        <item x="13"/>
        <item x="2"/>
        <item x="9"/>
        <item x="0"/>
        <item x="10"/>
        <item t="default"/>
      </items>
    </pivotField>
    <pivotField axis="axisRow" compact="0" outline="0" showAll="0" defaultSubtotal="0">
      <items count="7">
        <item x="0"/>
        <item x="2"/>
        <item x="1"/>
        <item x="3"/>
        <item x="4"/>
        <item x="5"/>
        <item x="6"/>
      </items>
    </pivotField>
    <pivotField compact="0" outline="0" showAll="0"/>
    <pivotField compact="0" outline="0" showAll="0"/>
    <pivotField compact="0" outline="0" dragToRow="0" dragToCol="0" dragToPage="0" showAll="0" defaultSubtotal="0"/>
  </pivotFields>
  <rowFields count="1">
    <field x="6"/>
  </rowFields>
  <rowItems count="8">
    <i>
      <x/>
    </i>
    <i>
      <x v="1"/>
    </i>
    <i>
      <x v="2"/>
    </i>
    <i>
      <x v="3"/>
    </i>
    <i>
      <x v="4"/>
    </i>
    <i>
      <x v="5"/>
    </i>
    <i>
      <x v="6"/>
    </i>
    <i t="grand">
      <x/>
    </i>
  </rowItems>
  <colItems count="1">
    <i/>
  </colItems>
  <dataFields count="1">
    <dataField name="Sum of Amount" fld="4" baseField="0" baseItem="0" numFmtId="166"/>
  </dataFields>
  <formats count="1">
    <format dxfId="39">
      <pivotArea outline="0" collapsedLevelsAreSubtotals="1" fieldPosition="0"/>
    </format>
  </formats>
  <chartFormats count="2">
    <chartFormat chart="0" format="2" series="1">
      <pivotArea type="data" outline="0" fieldPosition="0"/>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CC6E5FA-DDD3-4346-B290-885CA7C44E2F}" name="PivotTable8" cacheId="10" applyNumberFormats="0" applyBorderFormats="0" applyFontFormats="0" applyPatternFormats="0" applyAlignmentFormats="0" applyWidthHeightFormats="1" dataCaption="Values" updatedVersion="7" minRefreshableVersion="3" useAutoFormatting="1" rowGrandTotals="0" itemPrintTitles="1" createdVersion="7" indent="0" compact="0" compactData="0" gridDropZones="1" multipleFieldFilters="0" chartFormat="1">
  <location ref="G21:I57" firstHeaderRow="2" firstDataRow="2" firstDataCol="2" rowPageCount="1" colPageCount="1"/>
  <pivotFields count="10">
    <pivotField compact="0" outline="0" showAll="0">
      <extLst>
        <ext xmlns:x14="http://schemas.microsoft.com/office/spreadsheetml/2009/9/main" uri="{2946ED86-A175-432a-8AC1-64E0C546D7DE}">
          <x14:pivotField fillDownLabels="1"/>
        </ext>
      </extLst>
    </pivotField>
    <pivotField compact="0" numFmtId="14" outline="0" showAll="0">
      <items count="15">
        <item x="0"/>
        <item x="1"/>
        <item x="2"/>
        <item x="3"/>
        <item x="4"/>
        <item x="5"/>
        <item x="6"/>
        <item x="7"/>
        <item x="8"/>
        <item x="9"/>
        <item x="10"/>
        <item x="11"/>
        <item x="12"/>
        <item x="13"/>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9">
        <item x="8"/>
        <item x="1"/>
        <item x="12"/>
        <item x="16"/>
        <item x="15"/>
        <item x="7"/>
        <item x="17"/>
        <item x="5"/>
        <item x="14"/>
        <item x="4"/>
        <item x="11"/>
        <item x="6"/>
        <item x="3"/>
        <item x="13"/>
        <item x="2"/>
        <item x="9"/>
        <item x="0"/>
        <item x="10"/>
        <item t="default"/>
      </items>
      <extLst>
        <ext xmlns:x14="http://schemas.microsoft.com/office/spreadsheetml/2009/9/main" uri="{2946ED86-A175-432a-8AC1-64E0C546D7DE}">
          <x14:pivotField fillDownLabels="1"/>
        </ext>
      </extLst>
    </pivotField>
    <pivotField axis="axisRow" compact="0" outline="0" defaultSubtotal="0">
      <items count="7">
        <item x="6"/>
        <item x="1"/>
        <item x="4"/>
        <item x="2"/>
        <item x="5"/>
        <item x="0"/>
        <item x="3"/>
      </items>
      <extLst>
        <ext xmlns:x14="http://schemas.microsoft.com/office/spreadsheetml/2009/9/main" uri="{2946ED86-A175-432a-8AC1-64E0C546D7DE}">
          <x14:pivotField fillDownLabels="1"/>
        </ext>
      </extLst>
    </pivotField>
    <pivotField axis="axisPage" compact="0" outline="0" showAll="0">
      <items count="3">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6"/>
    <field x="5"/>
  </rowFields>
  <rowItems count="35">
    <i>
      <x/>
      <x v="4"/>
    </i>
    <i>
      <x v="1"/>
      <x v="1"/>
    </i>
    <i r="1">
      <x v="15"/>
    </i>
    <i>
      <x v="2"/>
      <x/>
    </i>
    <i r="1">
      <x v="5"/>
    </i>
    <i r="1">
      <x v="6"/>
    </i>
    <i r="1">
      <x v="8"/>
    </i>
    <i r="1">
      <x v="10"/>
    </i>
    <i>
      <x v="3"/>
      <x v="7"/>
    </i>
    <i r="1">
      <x v="9"/>
    </i>
    <i r="1">
      <x v="13"/>
    </i>
    <i r="1">
      <x v="14"/>
    </i>
    <i>
      <x v="4"/>
      <x v="2"/>
    </i>
    <i r="1">
      <x v="3"/>
    </i>
    <i>
      <x v="5"/>
      <x/>
    </i>
    <i r="1">
      <x v="1"/>
    </i>
    <i r="1">
      <x v="2"/>
    </i>
    <i r="1">
      <x v="3"/>
    </i>
    <i r="1">
      <x v="4"/>
    </i>
    <i r="1">
      <x v="5"/>
    </i>
    <i r="1">
      <x v="6"/>
    </i>
    <i r="1">
      <x v="7"/>
    </i>
    <i r="1">
      <x v="8"/>
    </i>
    <i r="1">
      <x v="9"/>
    </i>
    <i r="1">
      <x v="10"/>
    </i>
    <i r="1">
      <x v="11"/>
    </i>
    <i r="1">
      <x v="12"/>
    </i>
    <i r="1">
      <x v="13"/>
    </i>
    <i r="1">
      <x v="14"/>
    </i>
    <i r="1">
      <x v="15"/>
    </i>
    <i r="1">
      <x v="16"/>
    </i>
    <i r="1">
      <x v="17"/>
    </i>
    <i>
      <x v="6"/>
      <x v="11"/>
    </i>
    <i r="1">
      <x v="12"/>
    </i>
    <i r="1">
      <x v="17"/>
    </i>
  </rowItems>
  <colItems count="1">
    <i/>
  </colItems>
  <pageFields count="1">
    <pageField fld="7" item="0" hier="-1"/>
  </pageFields>
  <dataFields count="1">
    <dataField name="Sum of Debit" fld="2" baseField="0" baseItem="0" numFmtId="166"/>
  </dataFields>
  <formats count="1">
    <format dxfId="4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7529B65-C169-4159-A657-13C1F5F18145}" name="PivotTable3"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2:B15" firstHeaderRow="1" firstDataRow="1" firstDataCol="1"/>
  <pivotFields count="10">
    <pivotField axis="axisRow" showAll="0">
      <items count="3">
        <item x="0"/>
        <item x="1"/>
        <item t="default"/>
      </items>
    </pivotField>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showAll="0">
      <items count="8">
        <item x="6"/>
        <item x="1"/>
        <item x="4"/>
        <item x="2"/>
        <item x="5"/>
        <item x="0"/>
        <item x="3"/>
        <item t="default"/>
      </items>
    </pivotField>
    <pivotField showAll="0"/>
    <pivotField showAll="0"/>
    <pivotField dragToRow="0" dragToCol="0" dragToPage="0" showAll="0" defaultSubtotal="0"/>
  </pivotFields>
  <rowFields count="1">
    <field x="0"/>
  </rowFields>
  <rowItems count="3">
    <i>
      <x/>
    </i>
    <i>
      <x v="1"/>
    </i>
    <i t="grand">
      <x/>
    </i>
  </rowItems>
  <colItems count="1">
    <i/>
  </colItems>
  <dataFields count="1">
    <dataField name="Sum of Debit" fld="2" baseField="0" baseItem="0" numFmtId="166"/>
  </dataFields>
  <formats count="2">
    <format dxfId="47">
      <pivotArea outline="0" collapsedLevelsAreSubtotals="1" fieldPosition="0"/>
    </format>
    <format dxfId="48">
      <pivotArea dataOnly="0" labelOnly="1" outline="0" axis="axisValues" fieldPosition="0"/>
    </format>
  </formats>
  <chartFormats count="9">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0" count="1" selected="0">
            <x v="0"/>
          </reference>
        </references>
      </pivotArea>
    </chartFormat>
    <chartFormat chart="1" format="3">
      <pivotArea type="data" outline="0" fieldPosition="0">
        <references count="2">
          <reference field="4294967294" count="1" selected="0">
            <x v="0"/>
          </reference>
          <reference field="0"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77A9239-7F22-4B95-833D-AA13C2B1F10D}" name="PivotTable7"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G3:N15" firstHeaderRow="1" firstDataRow="2" firstDataCol="1" rowPageCount="1" colPageCount="1"/>
  <pivotFields count="10">
    <pivotField showAll="0"/>
    <pivotField axis="axisRow"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axis="axisCol" showAll="0">
      <items count="8">
        <item x="6"/>
        <item x="1"/>
        <item x="4"/>
        <item x="2"/>
        <item x="5"/>
        <item x="0"/>
        <item x="3"/>
        <item t="default"/>
      </items>
    </pivotField>
    <pivotField axis="axisPage" showAll="0">
      <items count="3">
        <item x="1"/>
        <item x="0"/>
        <item t="default"/>
      </items>
    </pivotField>
    <pivotField showAll="0"/>
    <pivotField dragToRow="0" dragToCol="0" dragToPage="0" showAll="0" defaultSubtotal="0"/>
  </pivotFields>
  <rowFields count="1">
    <field x="1"/>
  </rowFields>
  <rowItems count="11">
    <i>
      <x v="1"/>
    </i>
    <i>
      <x v="2"/>
    </i>
    <i>
      <x v="3"/>
    </i>
    <i>
      <x v="4"/>
    </i>
    <i>
      <x v="5"/>
    </i>
    <i>
      <x v="6"/>
    </i>
    <i>
      <x v="7"/>
    </i>
    <i>
      <x v="8"/>
    </i>
    <i>
      <x v="9"/>
    </i>
    <i>
      <x v="10"/>
    </i>
    <i t="grand">
      <x/>
    </i>
  </rowItems>
  <colFields count="1">
    <field x="6"/>
  </colFields>
  <colItems count="7">
    <i>
      <x/>
    </i>
    <i>
      <x v="1"/>
    </i>
    <i>
      <x v="2"/>
    </i>
    <i>
      <x v="3"/>
    </i>
    <i>
      <x v="4"/>
    </i>
    <i>
      <x v="6"/>
    </i>
    <i t="grand">
      <x/>
    </i>
  </colItems>
  <pageFields count="1">
    <pageField fld="7" item="0" hier="-1"/>
  </pageFields>
  <dataFields count="1">
    <dataField name="Sum of Debit" fld="2" baseField="0" baseItem="0" numFmtId="166"/>
  </dataFields>
  <formats count="1">
    <format dxfId="51">
      <pivotArea outline="0" collapsedLevelsAreSubtotals="1" fieldPosition="0"/>
    </format>
  </formats>
  <chartFormats count="12">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6"/>
          </reference>
        </references>
      </pivotArea>
    </chartFormat>
    <chartFormat chart="3" format="12" series="1">
      <pivotArea type="data" outline="0" fieldPosition="0">
        <references count="2">
          <reference field="4294967294" count="1" selected="0">
            <x v="0"/>
          </reference>
          <reference field="6" count="1" selected="0">
            <x v="0"/>
          </reference>
        </references>
      </pivotArea>
    </chartFormat>
    <chartFormat chart="3" format="13" series="1">
      <pivotArea type="data" outline="0" fieldPosition="0">
        <references count="2">
          <reference field="4294967294" count="1" selected="0">
            <x v="0"/>
          </reference>
          <reference field="6" count="1" selected="0">
            <x v="1"/>
          </reference>
        </references>
      </pivotArea>
    </chartFormat>
    <chartFormat chart="3" format="14" series="1">
      <pivotArea type="data" outline="0" fieldPosition="0">
        <references count="2">
          <reference field="4294967294" count="1" selected="0">
            <x v="0"/>
          </reference>
          <reference field="6" count="1" selected="0">
            <x v="2"/>
          </reference>
        </references>
      </pivotArea>
    </chartFormat>
    <chartFormat chart="3" format="15" series="1">
      <pivotArea type="data" outline="0" fieldPosition="0">
        <references count="2">
          <reference field="4294967294" count="1" selected="0">
            <x v="0"/>
          </reference>
          <reference field="6" count="1" selected="0">
            <x v="3"/>
          </reference>
        </references>
      </pivotArea>
    </chartFormat>
    <chartFormat chart="3" format="16" series="1">
      <pivotArea type="data" outline="0" fieldPosition="0">
        <references count="2">
          <reference field="4294967294" count="1" selected="0">
            <x v="0"/>
          </reference>
          <reference field="6" count="1" selected="0">
            <x v="4"/>
          </reference>
        </references>
      </pivotArea>
    </chartFormat>
    <chartFormat chart="3" format="17"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3B602CD-3E2A-4C1D-8B31-91D5080923CD}" name="PivotTable2"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2:B10" firstHeaderRow="1" firstDataRow="1" firstDataCol="1"/>
  <pivotFields count="10">
    <pivotField showAll="0"/>
    <pivotField numFmtId="14" showAll="0">
      <items count="15">
        <item x="0"/>
        <item x="1"/>
        <item x="2"/>
        <item x="3"/>
        <item x="4"/>
        <item x="5"/>
        <item x="6"/>
        <item x="7"/>
        <item x="8"/>
        <item x="9"/>
        <item x="10"/>
        <item x="11"/>
        <item x="12"/>
        <item x="13"/>
        <item t="default"/>
      </items>
    </pivotField>
    <pivotField dataField="1" showAll="0"/>
    <pivotField showAll="0"/>
    <pivotField showAll="0"/>
    <pivotField showAll="0"/>
    <pivotField axis="axisRow" showAll="0">
      <items count="8">
        <item x="6"/>
        <item x="1"/>
        <item x="4"/>
        <item x="2"/>
        <item x="5"/>
        <item x="0"/>
        <item x="3"/>
        <item t="default"/>
      </items>
    </pivotField>
    <pivotField showAll="0"/>
    <pivotField showAll="0"/>
    <pivotField dragToRow="0" dragToCol="0" dragToPage="0" showAll="0" defaultSubtotal="0"/>
  </pivotFields>
  <rowFields count="1">
    <field x="6"/>
  </rowFields>
  <rowItems count="8">
    <i>
      <x/>
    </i>
    <i>
      <x v="1"/>
    </i>
    <i>
      <x v="2"/>
    </i>
    <i>
      <x v="3"/>
    </i>
    <i>
      <x v="4"/>
    </i>
    <i>
      <x v="5"/>
    </i>
    <i>
      <x v="6"/>
    </i>
    <i t="grand">
      <x/>
    </i>
  </rowItems>
  <colItems count="1">
    <i/>
  </colItems>
  <dataFields count="1">
    <dataField name="Sum of Debit" fld="2" baseField="0" baseItem="0" numFmtId="166"/>
  </dataFields>
  <formats count="2">
    <format dxfId="49">
      <pivotArea outline="0" collapsedLevelsAreSubtotals="1" fieldPosition="0"/>
    </format>
    <format dxfId="5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2811C92E-880A-4F0E-8AA7-F176DD2A07B1}" sourceName="Date">
  <pivotTables>
    <pivotTable tabId="8" name="PivotTable7"/>
    <pivotTable tabId="8" name="PivotTable2"/>
    <pivotTable tabId="8" name="PivotTable3"/>
    <pivotTable tabId="8" name="PivotTable4"/>
    <pivotTable tabId="8" name="PivotTable5"/>
    <pivotTable tabId="8" name="PivotTable6"/>
    <pivotTable tabId="8" name="PivotTable8"/>
    <pivotTable tabId="8" name="PivotTable9"/>
  </pivotTables>
  <data>
    <tabular pivotCacheId="1652596641">
      <items count="14">
        <i x="1" s="1"/>
        <i x="2" s="1"/>
        <i x="3" s="1"/>
        <i x="4" s="1"/>
        <i x="5" s="1"/>
        <i x="6" s="1"/>
        <i x="7" s="1"/>
        <i x="8" s="1"/>
        <i x="9" s="1"/>
        <i x="10" s="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2651800-26D0-43A8-9039-83385B9E5A80}" sourceName="Category">
  <pivotTables>
    <pivotTable tabId="8" name="PivotTable7"/>
    <pivotTable tabId="8" name="PivotTable2"/>
    <pivotTable tabId="8" name="PivotTable3"/>
    <pivotTable tabId="8" name="PivotTable4"/>
    <pivotTable tabId="8" name="PivotTable5"/>
    <pivotTable tabId="8" name="PivotTable6"/>
    <pivotTable tabId="8" name="PivotTable8"/>
    <pivotTable tabId="8" name="PivotTable9"/>
  </pivotTables>
  <data>
    <tabular pivotCacheId="1652596641">
      <items count="7">
        <i x="6" s="1"/>
        <i x="1" s="1"/>
        <i x="4" s="1"/>
        <i x="2" s="1"/>
        <i x="5" s="1"/>
        <i x="0"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A026741E-2AFE-4518-ACE8-350FD5DDED89}" cache="Slicer_Date" caption="Date" rowHeight="241300"/>
  <slicer name="Category" xr10:uid="{49D250B3-3FAF-4239-B624-B375270382A1}" cache="Slicer_Category" caption="Categor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FC9194-5E5E-4396-9223-A26C23B2764D}" name="Transactions" displayName="Transactions" ref="A1:I487" totalsRowShown="0">
  <autoFilter ref="A1:I487" xr:uid="{B2FC9194-5E5E-4396-9223-A26C23B2764D}"/>
  <tableColumns count="9">
    <tableColumn id="1" xr3:uid="{AC168DA2-0C31-4D5F-87F2-1BFB2E930926}" name="Account"/>
    <tableColumn id="2" xr3:uid="{56FFB3E8-4482-4674-97D9-DA5AA72327E6}" name="Date" dataDxfId="58"/>
    <tableColumn id="4" xr3:uid="{D56E63C0-96EC-4133-A71D-67D97766A46C}" name="Debit" dataDxfId="57"/>
    <tableColumn id="5" xr3:uid="{D7F7FE2B-51D9-42AE-B8B3-FD68E53AEEB4}" name="Credit" dataDxfId="56"/>
    <tableColumn id="9" xr3:uid="{53C87F47-01E4-4808-BEAA-A511A91C81DF}" name="Amount" dataDxfId="54">
      <calculatedColumnFormula>D2-C2</calculatedColumnFormula>
    </tableColumn>
    <tableColumn id="6" xr3:uid="{AF41594B-1994-445D-A322-581EF2E20B94}" name="Sub-category" dataDxfId="55"/>
    <tableColumn id="7" xr3:uid="{4F644C6D-605E-47ED-8A3F-3861A87C885F}" name="Category" dataDxfId="75">
      <calculatedColumnFormula>_xlfn.XLOOKUP(Transactions[[#This Row],[Sub-category]], [1]!TblDV[Sub-category],[1]!TblDV[Category],"")</calculatedColumnFormula>
    </tableColumn>
    <tableColumn id="8" xr3:uid="{607199EE-6391-494D-B801-400715C082F5}" name="Category Type" dataDxfId="74">
      <calculatedColumnFormula>_xlfn.XLOOKUP(Transactions[[#This Row],[Sub-category]], [1]!TblDV[Sub-category],[1]!TblDV[Category Type],"")</calculatedColumnFormula>
    </tableColumn>
    <tableColumn id="11" xr3:uid="{5494DFCE-1ED8-47D4-A01B-DAC2246DED88}" name="Description"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8601C8-AEB6-4E21-A257-B3B7BD6C1257}" name="TblDV" displayName="TblDV" ref="B1:D27" totalsRowShown="0" headerRowDxfId="72" dataDxfId="70" headerRowBorderDxfId="71">
  <autoFilter ref="B1:D27" xr:uid="{7C8601C8-AEB6-4E21-A257-B3B7BD6C1257}"/>
  <tableColumns count="3">
    <tableColumn id="1" xr3:uid="{E7380645-6420-4847-8B42-B3FAE036F98C}" name="Sub-category" dataDxfId="69"/>
    <tableColumn id="2" xr3:uid="{4E9C9679-D493-42B2-8FB8-94B1D53B789B}" name="Category" dataDxfId="68"/>
    <tableColumn id="3" xr3:uid="{3642C7B4-E52E-4F31-B761-28C5C9269F3F}" name="Category Type" dataDxfId="6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C5049E-CFEA-4DB1-93FD-93FA981769B8}" name="Table5" displayName="Table5" ref="F1:F3" totalsRowShown="0" headerRowDxfId="66" dataDxfId="64" headerRowBorderDxfId="65">
  <autoFilter ref="F1:F3" xr:uid="{CFC5049E-CFEA-4DB1-93FD-93FA981769B8}"/>
  <tableColumns count="1">
    <tableColumn id="1" xr3:uid="{A9FBFBA0-CD9A-463C-BD98-6BE2F827C975}" name="Account" dataDxfId="6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71EE792-291D-4BD8-8AFB-C447BC05FC40}" name="Table7" displayName="Table7" ref="H1:H8" totalsRowShown="0" headerRowDxfId="62" dataDxfId="59" headerRowBorderDxfId="61">
  <autoFilter ref="H1:H8" xr:uid="{071EE792-291D-4BD8-8AFB-C447BC05FC40}"/>
  <tableColumns count="1">
    <tableColumn id="1" xr3:uid="{219BCE31-B980-49AE-A182-876464829593}" name="Date" dataDxfId="6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Paper">
      <a:dk1>
        <a:sysClr val="windowText" lastClr="000000"/>
      </a:dk1>
      <a:lt1>
        <a:sysClr val="window" lastClr="FFFFFF"/>
      </a:lt1>
      <a:dk2>
        <a:srgbClr val="444D26"/>
      </a:dk2>
      <a:lt2>
        <a:srgbClr val="FEFAC9"/>
      </a:lt2>
      <a:accent1>
        <a:srgbClr val="A5B592"/>
      </a:accent1>
      <a:accent2>
        <a:srgbClr val="F3A447"/>
      </a:accent2>
      <a:accent3>
        <a:srgbClr val="E7BC29"/>
      </a:accent3>
      <a:accent4>
        <a:srgbClr val="D092A7"/>
      </a:accent4>
      <a:accent5>
        <a:srgbClr val="9C85C0"/>
      </a:accent5>
      <a:accent6>
        <a:srgbClr val="809EC2"/>
      </a:accent6>
      <a:hlink>
        <a:srgbClr val="8E58B6"/>
      </a:hlink>
      <a:folHlink>
        <a:srgbClr val="7F6F6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BC273-0F15-4A2E-A3BF-EB3864A6B980}">
  <sheetPr codeName="Sheet5"/>
  <dimension ref="B3:F21"/>
  <sheetViews>
    <sheetView showGridLines="0" showRowColHeaders="0" workbookViewId="0">
      <selection activeCell="B14" sqref="B14"/>
    </sheetView>
  </sheetViews>
  <sheetFormatPr defaultRowHeight="14.5" x14ac:dyDescent="0.35"/>
  <cols>
    <col min="1" max="1" width="7.6328125" style="5" bestFit="1" customWidth="1"/>
    <col min="2" max="2" width="14.36328125" style="5" customWidth="1"/>
    <col min="3" max="3" width="33.36328125" style="5" customWidth="1"/>
    <col min="4" max="4" width="14.81640625" style="5" customWidth="1"/>
    <col min="5" max="5" width="18.7265625" style="5" customWidth="1"/>
    <col min="6" max="6" width="62.81640625" style="5" customWidth="1"/>
    <col min="7" max="16384" width="8.7265625" style="5"/>
  </cols>
  <sheetData>
    <row r="3" spans="2:6" x14ac:dyDescent="0.35">
      <c r="B3" s="44" t="s">
        <v>47</v>
      </c>
      <c r="C3" s="44"/>
      <c r="D3" s="44"/>
      <c r="E3" s="44"/>
    </row>
    <row r="4" spans="2:6" x14ac:dyDescent="0.35">
      <c r="B4" s="44"/>
      <c r="C4" s="44"/>
      <c r="D4" s="44"/>
      <c r="E4" s="44"/>
    </row>
    <row r="7" spans="2:6" ht="34" customHeight="1" thickBot="1" x14ac:dyDescent="0.4">
      <c r="B7" s="9" t="s">
        <v>2</v>
      </c>
      <c r="C7" s="10" t="s">
        <v>0</v>
      </c>
      <c r="D7" s="11" t="s">
        <v>28</v>
      </c>
      <c r="E7" s="11" t="s">
        <v>33</v>
      </c>
      <c r="F7" s="11" t="s">
        <v>1</v>
      </c>
    </row>
    <row r="8" spans="2:6" ht="25.5" customHeight="1" thickTop="1" x14ac:dyDescent="0.35">
      <c r="B8" s="6"/>
      <c r="C8" s="7"/>
      <c r="D8" s="8"/>
      <c r="E8" s="6"/>
      <c r="F8" s="6"/>
    </row>
    <row r="10" spans="2:6" ht="18.5" x14ac:dyDescent="0.45">
      <c r="B10" s="22" t="s">
        <v>58</v>
      </c>
      <c r="C10" s="19"/>
      <c r="D10" s="19"/>
      <c r="E10" s="19"/>
      <c r="F10" s="19"/>
    </row>
    <row r="11" spans="2:6" ht="15.5" x14ac:dyDescent="0.35">
      <c r="B11" s="20" t="str" cm="1">
        <f t="array" aca="1" ref="B11:C11" ca="1">INDIRECT("'"&amp;"Transactions"&amp;"'!$A$2:$B$2")</f>
        <v>Checking</v>
      </c>
      <c r="C11" s="21">
        <f ca="1"/>
        <v>44200</v>
      </c>
      <c r="D11" s="28" cm="1">
        <f t="array" aca="1" ref="D11:E11" ca="1">INDIRECT("'"&amp;"Transactions"&amp;"'!$E$2:$F$2")</f>
        <v>4000</v>
      </c>
      <c r="E11" s="20" t="str">
        <f ca="1"/>
        <v>Salary</v>
      </c>
      <c r="F11" s="20" t="str" cm="1">
        <f t="array" aca="1" ref="F11" ca="1">INDIRECT("'"&amp;"Transactions"&amp;"'!$I$2")</f>
        <v>ACME Pty Ltd</v>
      </c>
    </row>
    <row r="21" spans="2:2" x14ac:dyDescent="0.35">
      <c r="B21" s="18" t="s">
        <v>48</v>
      </c>
    </row>
  </sheetData>
  <mergeCells count="1">
    <mergeCell ref="B3:E4"/>
  </mergeCells>
  <dataValidations count="3">
    <dataValidation type="list" allowBlank="1" showInputMessage="1" showErrorMessage="1" sqref="B8" xr:uid="{0146946F-476D-4CB8-94A6-A41B0523CFEA}">
      <formula1>Account</formula1>
    </dataValidation>
    <dataValidation type="list" allowBlank="1" showInputMessage="1" showErrorMessage="1" sqref="C8" xr:uid="{EA6B33BB-8A25-4ECD-83A3-E2B8CB205526}">
      <formula1>last7Days</formula1>
    </dataValidation>
    <dataValidation type="list" allowBlank="1" showInputMessage="1" showErrorMessage="1" sqref="E8" xr:uid="{60EA1D0D-DC2D-49CD-9774-0924913A77BE}">
      <formula1>sub_categories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31" r:id="rId3" name="Button 11">
              <controlPr defaultSize="0" print="0" autoFill="0" autoPict="0" macro="[0]!Module1.input_data">
                <anchor moveWithCells="1" sizeWithCells="1">
                  <from>
                    <xdr:col>6</xdr:col>
                    <xdr:colOff>19050</xdr:colOff>
                    <xdr:row>6</xdr:row>
                    <xdr:rowOff>0</xdr:rowOff>
                  </from>
                  <to>
                    <xdr:col>7</xdr:col>
                    <xdr:colOff>520700</xdr:colOff>
                    <xdr:row>8</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0CB63-E443-420F-BA7D-679191ADDC35}">
  <sheetPr codeName="Sheet1">
    <tabColor theme="9" tint="0.79998168889431442"/>
  </sheetPr>
  <dimension ref="A1:Y34"/>
  <sheetViews>
    <sheetView showGridLines="0" showRowColHeaders="0" tabSelected="1" zoomScale="70" zoomScaleNormal="70" workbookViewId="0">
      <selection activeCell="AA42" sqref="AA42"/>
    </sheetView>
  </sheetViews>
  <sheetFormatPr defaultRowHeight="14.5" x14ac:dyDescent="0.35"/>
  <cols>
    <col min="1" max="7" width="8.7265625" style="5"/>
    <col min="8" max="8" width="8.7265625" style="5" customWidth="1"/>
    <col min="9" max="9" width="8.7265625" style="5"/>
    <col min="10" max="10" width="12.81640625" style="5" bestFit="1" customWidth="1"/>
    <col min="11" max="12" width="8.7265625" style="5" customWidth="1"/>
    <col min="13" max="13" width="11.54296875" style="5" bestFit="1" customWidth="1"/>
    <col min="14" max="14" width="8.7265625" style="5"/>
    <col min="15" max="15" width="8.7265625" style="5" customWidth="1"/>
    <col min="16" max="16" width="11.54296875" style="5" bestFit="1" customWidth="1"/>
    <col min="17" max="17" width="8.7265625" style="5"/>
    <col min="18" max="18" width="8.7265625" style="5" customWidth="1"/>
    <col min="19" max="19" width="11.54296875" style="5" bestFit="1" customWidth="1"/>
    <col min="20" max="20" width="8.7265625" style="5"/>
    <col min="21" max="21" width="8.7265625" style="5" customWidth="1"/>
    <col min="22" max="22" width="9.81640625" style="5" bestFit="1" customWidth="1"/>
    <col min="23" max="23" width="8.7265625" style="5"/>
    <col min="24" max="24" width="8.7265625" style="5" customWidth="1"/>
    <col min="25" max="25" width="9.81640625" style="5" bestFit="1" customWidth="1"/>
    <col min="26" max="26" width="8.7265625" style="5"/>
    <col min="27" max="27" width="8.7265625" style="5" customWidth="1"/>
    <col min="28" max="16384" width="8.7265625" style="5"/>
  </cols>
  <sheetData>
    <row r="1" spans="1:25" s="32" customFormat="1" ht="52.5" customHeight="1" x14ac:dyDescent="0.65">
      <c r="A1" s="55" t="s">
        <v>94</v>
      </c>
      <c r="B1" s="40"/>
      <c r="C1" s="40"/>
      <c r="D1" s="40"/>
      <c r="E1" s="41"/>
      <c r="F1" s="41"/>
      <c r="G1" s="41"/>
      <c r="H1" s="42" t="s">
        <v>95</v>
      </c>
      <c r="I1" s="43"/>
      <c r="J1" s="52">
        <f>_xlfn.XLOOKUP("Living Expenses",Analysis!$A$3:$A$9,Analysis!$B$3:$B$9,"",0)</f>
        <v>16399.800000000003</v>
      </c>
      <c r="L1" s="39"/>
      <c r="M1" s="53">
        <f>_xlfn.XLOOKUP("Discretionary",Analysis!$A$3:$A$9,Analysis!$B$3:$B$9,"",0)</f>
        <v>7327.6000000000013</v>
      </c>
      <c r="N1" s="39"/>
      <c r="O1" s="39"/>
      <c r="P1" s="53">
        <f>_xlfn.XLOOKUP("Transport",Analysis!$A$3:$A$9,Analysis!$B$3:$B$9,"",0)</f>
        <v>3591.6999999999989</v>
      </c>
      <c r="Q1" s="39"/>
      <c r="R1" s="39"/>
      <c r="S1" s="53">
        <f>_xlfn.XLOOKUP("Dining Out",Analysis!$A$3:$A$9,Analysis!$B$3:$B$9,"",0)</f>
        <v>2396.8999999999992</v>
      </c>
      <c r="T1" s="39"/>
      <c r="U1" s="39"/>
      <c r="V1" s="53">
        <f>_xlfn.XLOOKUP("Medical",Analysis!$A$3:$A$9,Analysis!$B$3:$B$9,"",0)</f>
        <v>379</v>
      </c>
      <c r="Y1" s="54">
        <f>_xlfn.XLOOKUP("Charity",Analysis!$A$3:$A$9,Analysis!$B$3:$B$9,"",0)</f>
        <v>550</v>
      </c>
    </row>
    <row r="2" spans="1:25" ht="8.25" customHeight="1" x14ac:dyDescent="0.35">
      <c r="I2" s="47"/>
    </row>
    <row r="29" spans="10:13" ht="20.149999999999999" customHeight="1" x14ac:dyDescent="0.35">
      <c r="J29" s="13"/>
      <c r="K29" s="12"/>
      <c r="L29" s="12"/>
      <c r="M29" s="12"/>
    </row>
    <row r="30" spans="10:13" ht="20.149999999999999" customHeight="1" x14ac:dyDescent="0.35">
      <c r="J30" s="14"/>
      <c r="L30" s="15"/>
      <c r="M30" s="16"/>
    </row>
    <row r="31" spans="10:13" ht="20.149999999999999" customHeight="1" x14ac:dyDescent="0.35">
      <c r="J31" s="14"/>
      <c r="L31" s="15"/>
      <c r="M31" s="17"/>
    </row>
    <row r="32" spans="10:13" ht="20.149999999999999" customHeight="1" x14ac:dyDescent="0.35">
      <c r="J32" s="14"/>
      <c r="L32" s="15"/>
      <c r="M32" s="17"/>
    </row>
    <row r="33" spans="10:13" ht="20.149999999999999" customHeight="1" x14ac:dyDescent="0.35">
      <c r="J33" s="14"/>
      <c r="L33" s="15"/>
      <c r="M33" s="17"/>
    </row>
    <row r="34" spans="10:13" ht="20.149999999999999" customHeight="1" x14ac:dyDescent="0.35">
      <c r="J34" s="14"/>
      <c r="L34" s="15"/>
      <c r="M34" s="17"/>
    </row>
  </sheetData>
  <conditionalFormatting sqref="M30:M34">
    <cfRule type="dataBar" priority="1">
      <dataBar showValue="0">
        <cfvo type="min"/>
        <cfvo type="max"/>
        <color theme="8" tint="-0.249977111117893"/>
      </dataBar>
      <extLst>
        <ext xmlns:x14="http://schemas.microsoft.com/office/spreadsheetml/2009/9/main" uri="{B025F937-C7B1-47D3-B67F-A62EFF666E3E}">
          <x14:id>{83A195FD-20E1-4F16-9ECB-0BBB614D492F}</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83A195FD-20E1-4F16-9ECB-0BBB614D492F}">
            <x14:dataBar minLength="0" maxLength="100" gradient="0">
              <x14:cfvo type="autoMin"/>
              <x14:cfvo type="autoMax"/>
              <x14:negativeFillColor rgb="FFFF0000"/>
              <x14:axisColor rgb="FF000000"/>
            </x14:dataBar>
          </x14:cfRule>
          <xm:sqref>M30:M34</xm:sqref>
        </x14:conditionalFormatting>
      </x14:conditionalFormattings>
    </ex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E3DE3-D63C-4B46-8A1D-70E4A509ADCB}">
  <sheetPr codeName="Sheet2"/>
  <dimension ref="A1:W285"/>
  <sheetViews>
    <sheetView workbookViewId="0">
      <selection activeCell="U37" sqref="U37"/>
    </sheetView>
  </sheetViews>
  <sheetFormatPr defaultRowHeight="14.5" x14ac:dyDescent="0.35"/>
  <cols>
    <col min="1" max="1" width="12.90625" style="23" bestFit="1" customWidth="1"/>
    <col min="2" max="2" width="12.54296875" style="24" bestFit="1" customWidth="1"/>
    <col min="3" max="3" width="8.7265625" style="23"/>
    <col min="4" max="4" width="12.36328125" style="23" bestFit="1" customWidth="1"/>
    <col min="5" max="5" width="12.7265625" style="24" bestFit="1" customWidth="1"/>
    <col min="6" max="6" width="8.7265625" style="23"/>
    <col min="7" max="7" width="12.6328125" style="23" bestFit="1" customWidth="1"/>
    <col min="8" max="8" width="14" style="24" bestFit="1" customWidth="1"/>
    <col min="9" max="9" width="9.7265625" style="23" bestFit="1" customWidth="1"/>
    <col min="10" max="10" width="11.90625" style="23" bestFit="1" customWidth="1"/>
    <col min="11" max="11" width="14" style="24" bestFit="1" customWidth="1"/>
    <col min="12" max="12" width="11.36328125" style="24" bestFit="1" customWidth="1"/>
    <col min="13" max="13" width="9.81640625" style="24" bestFit="1" customWidth="1"/>
    <col min="14" max="14" width="10.81640625" style="24" bestFit="1" customWidth="1"/>
    <col min="15" max="15" width="11.54296875" style="24" bestFit="1" customWidth="1"/>
    <col min="16" max="16" width="4.7265625" style="24" bestFit="1" customWidth="1"/>
    <col min="17" max="17" width="8.7265625" style="23" bestFit="1" customWidth="1"/>
    <col min="18" max="18" width="4.6328125" style="23" bestFit="1" customWidth="1"/>
    <col min="19" max="19" width="7.6328125" style="24" bestFit="1" customWidth="1"/>
    <col min="20" max="20" width="8.1796875" style="24" bestFit="1" customWidth="1"/>
    <col min="21" max="21" width="6.1796875" style="23" bestFit="1" customWidth="1"/>
    <col min="22" max="22" width="4.81640625" style="23" bestFit="1" customWidth="1"/>
    <col min="23" max="23" width="10.08984375" style="24" bestFit="1" customWidth="1"/>
    <col min="24" max="25" width="5.81640625" style="23" bestFit="1" customWidth="1"/>
    <col min="26" max="26" width="10.7265625" style="23" bestFit="1" customWidth="1"/>
    <col min="27" max="16384" width="8.7265625" style="23"/>
  </cols>
  <sheetData>
    <row r="1" spans="1:20" x14ac:dyDescent="0.35">
      <c r="G1" s="29" t="s">
        <v>6</v>
      </c>
      <c r="H1" t="s">
        <v>11</v>
      </c>
    </row>
    <row r="2" spans="1:20" x14ac:dyDescent="0.35">
      <c r="A2" s="29" t="s">
        <v>91</v>
      </c>
      <c r="B2" s="48" t="s">
        <v>35</v>
      </c>
      <c r="D2" s="29" t="s">
        <v>91</v>
      </c>
      <c r="E2" s="48" t="s">
        <v>35</v>
      </c>
      <c r="H2" s="23"/>
      <c r="K2" s="23"/>
      <c r="L2" s="23"/>
      <c r="M2" s="23"/>
      <c r="N2" s="23"/>
      <c r="O2" s="23"/>
    </row>
    <row r="3" spans="1:20" x14ac:dyDescent="0.35">
      <c r="A3" s="35" t="s">
        <v>24</v>
      </c>
      <c r="B3" s="48">
        <v>550</v>
      </c>
      <c r="C3" s="24"/>
      <c r="D3" s="46" t="s">
        <v>49</v>
      </c>
      <c r="E3" s="48">
        <v>3058</v>
      </c>
      <c r="G3" s="29" t="s">
        <v>35</v>
      </c>
      <c r="H3" s="29" t="s">
        <v>92</v>
      </c>
      <c r="I3"/>
      <c r="J3"/>
      <c r="K3"/>
      <c r="L3"/>
      <c r="M3"/>
      <c r="N3"/>
      <c r="O3" s="23"/>
      <c r="S3" s="23"/>
      <c r="T3" s="23"/>
    </row>
    <row r="4" spans="1:20" x14ac:dyDescent="0.35">
      <c r="A4" s="35" t="s">
        <v>18</v>
      </c>
      <c r="B4" s="48">
        <v>2396.8999999999992</v>
      </c>
      <c r="D4" s="46" t="s">
        <v>50</v>
      </c>
      <c r="E4" s="48">
        <v>2934.6000000000004</v>
      </c>
      <c r="G4" s="29" t="s">
        <v>91</v>
      </c>
      <c r="H4" t="s">
        <v>24</v>
      </c>
      <c r="I4" t="s">
        <v>18</v>
      </c>
      <c r="J4" t="s">
        <v>26</v>
      </c>
      <c r="K4" t="s">
        <v>25</v>
      </c>
      <c r="L4" t="s">
        <v>20</v>
      </c>
      <c r="M4" t="s">
        <v>21</v>
      </c>
      <c r="N4" t="s">
        <v>34</v>
      </c>
      <c r="O4" s="23"/>
      <c r="S4" s="23"/>
      <c r="T4" s="23"/>
    </row>
    <row r="5" spans="1:20" x14ac:dyDescent="0.35">
      <c r="A5" s="35" t="s">
        <v>26</v>
      </c>
      <c r="B5" s="48">
        <v>7327.6000000000013</v>
      </c>
      <c r="D5" s="46" t="s">
        <v>51</v>
      </c>
      <c r="E5" s="48">
        <v>3079.7</v>
      </c>
      <c r="G5" s="46" t="s">
        <v>49</v>
      </c>
      <c r="H5" s="48">
        <v>55</v>
      </c>
      <c r="I5" s="48">
        <v>206</v>
      </c>
      <c r="J5" s="48">
        <v>690</v>
      </c>
      <c r="K5" s="48">
        <v>1612</v>
      </c>
      <c r="L5" s="48">
        <v>154</v>
      </c>
      <c r="M5" s="48">
        <v>341</v>
      </c>
      <c r="N5" s="48">
        <v>3058</v>
      </c>
      <c r="O5" s="23"/>
      <c r="S5" s="23"/>
      <c r="T5" s="23"/>
    </row>
    <row r="6" spans="1:20" x14ac:dyDescent="0.35">
      <c r="A6" s="35" t="s">
        <v>25</v>
      </c>
      <c r="B6" s="48">
        <v>16399.800000000003</v>
      </c>
      <c r="D6" s="46" t="s">
        <v>52</v>
      </c>
      <c r="E6" s="48">
        <v>3068</v>
      </c>
      <c r="G6" s="46" t="s">
        <v>50</v>
      </c>
      <c r="H6" s="48">
        <v>55</v>
      </c>
      <c r="I6" s="48">
        <v>208.8</v>
      </c>
      <c r="J6" s="48">
        <v>659.80000000000007</v>
      </c>
      <c r="K6" s="48">
        <v>1665.9</v>
      </c>
      <c r="L6" s="48"/>
      <c r="M6" s="48">
        <v>345.1</v>
      </c>
      <c r="N6" s="48">
        <v>2934.6</v>
      </c>
      <c r="O6" s="23"/>
      <c r="S6" s="23"/>
      <c r="T6" s="23"/>
    </row>
    <row r="7" spans="1:20" x14ac:dyDescent="0.35">
      <c r="A7" s="35" t="s">
        <v>20</v>
      </c>
      <c r="B7" s="48">
        <v>379</v>
      </c>
      <c r="D7" s="46" t="s">
        <v>36</v>
      </c>
      <c r="E7" s="48">
        <v>3146.1</v>
      </c>
      <c r="G7" s="46" t="s">
        <v>51</v>
      </c>
      <c r="H7" s="48">
        <v>55</v>
      </c>
      <c r="I7" s="48">
        <v>237</v>
      </c>
      <c r="J7" s="48">
        <v>704.80000000000007</v>
      </c>
      <c r="K7" s="48">
        <v>1659</v>
      </c>
      <c r="L7" s="48">
        <v>75</v>
      </c>
      <c r="M7" s="48">
        <v>348.9</v>
      </c>
      <c r="N7" s="48">
        <v>3079.7000000000003</v>
      </c>
      <c r="O7" s="23"/>
      <c r="S7" s="23"/>
      <c r="T7" s="23"/>
    </row>
    <row r="8" spans="1:20" x14ac:dyDescent="0.35">
      <c r="A8" s="35" t="s">
        <v>7</v>
      </c>
      <c r="B8" s="48"/>
      <c r="D8" s="46" t="s">
        <v>53</v>
      </c>
      <c r="E8" s="48">
        <v>3035.7</v>
      </c>
      <c r="G8" s="46" t="s">
        <v>52</v>
      </c>
      <c r="H8" s="48">
        <v>55</v>
      </c>
      <c r="I8" s="48">
        <v>240.1</v>
      </c>
      <c r="J8" s="48">
        <v>832.6</v>
      </c>
      <c r="K8" s="48">
        <v>1587.3000000000002</v>
      </c>
      <c r="L8" s="48"/>
      <c r="M8" s="48">
        <v>353</v>
      </c>
      <c r="N8" s="48">
        <v>3068</v>
      </c>
      <c r="O8" s="23"/>
      <c r="S8" s="23"/>
      <c r="T8" s="23"/>
    </row>
    <row r="9" spans="1:20" x14ac:dyDescent="0.35">
      <c r="A9" s="35" t="s">
        <v>21</v>
      </c>
      <c r="B9" s="48">
        <v>3591.6999999999989</v>
      </c>
      <c r="D9" s="46" t="s">
        <v>54</v>
      </c>
      <c r="E9" s="48">
        <v>3095</v>
      </c>
      <c r="G9" s="46" t="s">
        <v>36</v>
      </c>
      <c r="H9" s="48">
        <v>55</v>
      </c>
      <c r="I9" s="48">
        <v>243.2</v>
      </c>
      <c r="J9" s="48">
        <v>772.7</v>
      </c>
      <c r="K9" s="48">
        <v>1642.9999999999998</v>
      </c>
      <c r="L9" s="48">
        <v>75</v>
      </c>
      <c r="M9" s="48">
        <v>357.2</v>
      </c>
      <c r="N9" s="48">
        <v>3146.0999999999995</v>
      </c>
      <c r="O9" s="23"/>
      <c r="S9" s="23"/>
      <c r="T9" s="23"/>
    </row>
    <row r="10" spans="1:20" x14ac:dyDescent="0.35">
      <c r="A10" s="35" t="s">
        <v>34</v>
      </c>
      <c r="B10" s="48">
        <v>30645</v>
      </c>
      <c r="D10" s="46" t="s">
        <v>55</v>
      </c>
      <c r="E10" s="48">
        <v>2982.0999999999995</v>
      </c>
      <c r="G10" s="46" t="s">
        <v>53</v>
      </c>
      <c r="H10" s="48">
        <v>55</v>
      </c>
      <c r="I10" s="48">
        <v>241.1</v>
      </c>
      <c r="J10" s="48">
        <v>723.19999999999993</v>
      </c>
      <c r="K10" s="48">
        <v>1655.1000000000001</v>
      </c>
      <c r="L10" s="48"/>
      <c r="M10" s="48">
        <v>361.3</v>
      </c>
      <c r="N10" s="48">
        <v>3035.7000000000003</v>
      </c>
      <c r="O10" s="23"/>
      <c r="S10" s="23"/>
      <c r="T10" s="23"/>
    </row>
    <row r="11" spans="1:20" x14ac:dyDescent="0.35">
      <c r="D11" s="46" t="s">
        <v>56</v>
      </c>
      <c r="E11" s="48">
        <v>3117.1</v>
      </c>
      <c r="G11" s="46" t="s">
        <v>54</v>
      </c>
      <c r="H11" s="48">
        <v>55</v>
      </c>
      <c r="I11" s="48">
        <v>259.29999999999995</v>
      </c>
      <c r="J11" s="48">
        <v>729.10000000000014</v>
      </c>
      <c r="K11" s="48">
        <v>1686.1999999999998</v>
      </c>
      <c r="L11" s="48"/>
      <c r="M11" s="48">
        <v>365.40000000000003</v>
      </c>
      <c r="N11" s="48">
        <v>3095</v>
      </c>
      <c r="O11" s="23"/>
      <c r="S11" s="23"/>
      <c r="T11" s="23"/>
    </row>
    <row r="12" spans="1:20" x14ac:dyDescent="0.35">
      <c r="A12" s="29" t="s">
        <v>91</v>
      </c>
      <c r="B12" s="48" t="s">
        <v>35</v>
      </c>
      <c r="D12" s="46" t="s">
        <v>57</v>
      </c>
      <c r="E12" s="48">
        <v>3128.7</v>
      </c>
      <c r="G12" s="46" t="s">
        <v>55</v>
      </c>
      <c r="H12" s="48">
        <v>55</v>
      </c>
      <c r="I12" s="48">
        <v>252.5</v>
      </c>
      <c r="J12" s="48">
        <v>735.19999999999993</v>
      </c>
      <c r="K12" s="48">
        <v>1570.1</v>
      </c>
      <c r="L12" s="48"/>
      <c r="M12" s="48">
        <v>369.3</v>
      </c>
      <c r="N12" s="48">
        <v>2982.1</v>
      </c>
      <c r="O12" s="23"/>
      <c r="S12" s="23"/>
      <c r="T12" s="23"/>
    </row>
    <row r="13" spans="1:20" x14ac:dyDescent="0.35">
      <c r="A13" s="35" t="s">
        <v>9</v>
      </c>
      <c r="B13" s="48">
        <v>12674.7</v>
      </c>
      <c r="D13" s="46" t="s">
        <v>34</v>
      </c>
      <c r="E13" s="48">
        <v>30644.999999999996</v>
      </c>
      <c r="G13" s="46" t="s">
        <v>56</v>
      </c>
      <c r="H13" s="48">
        <v>55</v>
      </c>
      <c r="I13" s="48">
        <v>250.5</v>
      </c>
      <c r="J13" s="48">
        <v>732.9</v>
      </c>
      <c r="K13" s="48">
        <v>1705.4</v>
      </c>
      <c r="L13" s="48"/>
      <c r="M13" s="48">
        <v>373.3</v>
      </c>
      <c r="N13" s="48">
        <v>3117.1000000000004</v>
      </c>
      <c r="O13" s="23"/>
      <c r="S13" s="23"/>
      <c r="T13" s="23"/>
    </row>
    <row r="14" spans="1:20" x14ac:dyDescent="0.35">
      <c r="A14" s="35" t="s">
        <v>5</v>
      </c>
      <c r="B14" s="48">
        <v>17970.300000000003</v>
      </c>
      <c r="G14" s="46" t="s">
        <v>57</v>
      </c>
      <c r="H14" s="48">
        <v>55</v>
      </c>
      <c r="I14" s="48">
        <v>258.39999999999998</v>
      </c>
      <c r="J14" s="48">
        <v>747.30000000000007</v>
      </c>
      <c r="K14" s="48">
        <v>1615.8000000000002</v>
      </c>
      <c r="L14" s="48">
        <v>75</v>
      </c>
      <c r="M14" s="48">
        <v>377.20000000000005</v>
      </c>
      <c r="N14" s="48">
        <v>3128.7</v>
      </c>
      <c r="O14" s="23"/>
      <c r="S14" s="23"/>
      <c r="T14" s="23"/>
    </row>
    <row r="15" spans="1:20" x14ac:dyDescent="0.35">
      <c r="A15" s="35" t="s">
        <v>34</v>
      </c>
      <c r="B15" s="48">
        <v>30645.000000000004</v>
      </c>
      <c r="G15" s="46" t="s">
        <v>34</v>
      </c>
      <c r="H15" s="48">
        <v>550</v>
      </c>
      <c r="I15" s="48">
        <v>2396.9</v>
      </c>
      <c r="J15" s="48">
        <v>7327.6</v>
      </c>
      <c r="K15" s="48">
        <v>16399.8</v>
      </c>
      <c r="L15" s="48">
        <v>379</v>
      </c>
      <c r="M15" s="48">
        <v>3591.7000000000007</v>
      </c>
      <c r="N15" s="48">
        <v>30645.000000000004</v>
      </c>
      <c r="O15" s="23"/>
      <c r="S15" s="23"/>
      <c r="T15" s="23"/>
    </row>
    <row r="16" spans="1:20" x14ac:dyDescent="0.35">
      <c r="H16" s="23"/>
      <c r="K16" s="23"/>
      <c r="L16" s="23"/>
      <c r="M16" s="23"/>
      <c r="N16" s="23"/>
    </row>
    <row r="17" spans="1:23" x14ac:dyDescent="0.35">
      <c r="A17" s="29" t="s">
        <v>91</v>
      </c>
      <c r="B17" s="48" t="s">
        <v>35</v>
      </c>
      <c r="D17" s="29" t="s">
        <v>91</v>
      </c>
      <c r="E17" s="48" t="s">
        <v>41</v>
      </c>
      <c r="M17" s="23"/>
      <c r="N17" s="23"/>
      <c r="O17" s="23"/>
      <c r="P17" s="23"/>
      <c r="S17" s="23"/>
      <c r="T17" s="23"/>
      <c r="W17" s="23"/>
    </row>
    <row r="18" spans="1:23" x14ac:dyDescent="0.35">
      <c r="A18" s="35" t="s">
        <v>16</v>
      </c>
      <c r="B18" s="48">
        <v>4303.6000000000004</v>
      </c>
      <c r="D18" s="46" t="s">
        <v>49</v>
      </c>
      <c r="E18" s="48">
        <v>942</v>
      </c>
      <c r="M18" s="23"/>
      <c r="N18" s="23"/>
      <c r="O18" s="23"/>
      <c r="P18" s="23"/>
      <c r="S18" s="23"/>
      <c r="T18" s="23"/>
      <c r="W18" s="23"/>
    </row>
    <row r="19" spans="1:23" x14ac:dyDescent="0.35">
      <c r="A19" s="35" t="s">
        <v>63</v>
      </c>
      <c r="B19" s="48">
        <v>1115</v>
      </c>
      <c r="D19" s="46" t="s">
        <v>50</v>
      </c>
      <c r="E19" s="48">
        <v>1065.3999999999996</v>
      </c>
      <c r="G19" s="29" t="s">
        <v>6</v>
      </c>
      <c r="H19" t="s">
        <v>11</v>
      </c>
      <c r="K19" s="36" t="s">
        <v>37</v>
      </c>
      <c r="L19" s="37"/>
      <c r="M19" s="23"/>
      <c r="N19" s="23"/>
      <c r="O19" s="23"/>
      <c r="P19" s="23"/>
      <c r="S19" s="23"/>
      <c r="T19" s="23"/>
      <c r="W19" s="23"/>
    </row>
    <row r="20" spans="1:23" x14ac:dyDescent="0.35">
      <c r="A20" s="35" t="s">
        <v>19</v>
      </c>
      <c r="B20" s="48">
        <v>154</v>
      </c>
      <c r="D20" s="46" t="s">
        <v>51</v>
      </c>
      <c r="E20" s="48">
        <v>920.30000000000018</v>
      </c>
      <c r="K20" s="36" t="s">
        <v>3</v>
      </c>
      <c r="L20" s="37" t="s">
        <v>93</v>
      </c>
      <c r="M20" s="23"/>
      <c r="N20" s="23"/>
      <c r="O20" s="23"/>
      <c r="P20" s="23"/>
      <c r="S20" s="23"/>
      <c r="T20" s="23"/>
      <c r="W20" s="23"/>
    </row>
    <row r="21" spans="1:23" x14ac:dyDescent="0.35">
      <c r="A21" s="35" t="s">
        <v>31</v>
      </c>
      <c r="B21" s="48">
        <v>225</v>
      </c>
      <c r="D21" s="46" t="s">
        <v>52</v>
      </c>
      <c r="E21" s="48">
        <v>932</v>
      </c>
      <c r="G21" s="29" t="s">
        <v>35</v>
      </c>
      <c r="H21"/>
      <c r="I21"/>
      <c r="K21" s="38" t="s">
        <v>7</v>
      </c>
      <c r="L21" s="48">
        <v>40000</v>
      </c>
      <c r="M21" s="23"/>
      <c r="N21" s="23"/>
      <c r="O21" s="23"/>
      <c r="P21" s="23"/>
      <c r="S21" s="23"/>
      <c r="T21" s="23"/>
      <c r="W21" s="23"/>
    </row>
    <row r="22" spans="1:23" x14ac:dyDescent="0.35">
      <c r="A22" s="35" t="s">
        <v>23</v>
      </c>
      <c r="B22" s="48">
        <v>550</v>
      </c>
      <c r="D22" s="46" t="s">
        <v>36</v>
      </c>
      <c r="E22" s="48">
        <v>853.90000000000009</v>
      </c>
      <c r="G22" s="29" t="s">
        <v>3</v>
      </c>
      <c r="H22" s="29" t="s">
        <v>33</v>
      </c>
      <c r="I22" t="s">
        <v>93</v>
      </c>
      <c r="K22" s="38" t="s">
        <v>25</v>
      </c>
      <c r="L22" s="48">
        <v>-16399.800000000003</v>
      </c>
      <c r="M22" s="23"/>
      <c r="N22" s="23"/>
      <c r="O22" s="23"/>
      <c r="P22" s="23"/>
      <c r="S22" s="23"/>
      <c r="T22" s="23"/>
      <c r="W22" s="23"/>
    </row>
    <row r="23" spans="1:23" x14ac:dyDescent="0.35">
      <c r="A23" s="35" t="s">
        <v>15</v>
      </c>
      <c r="B23" s="48">
        <v>1812.6</v>
      </c>
      <c r="D23" s="46" t="s">
        <v>53</v>
      </c>
      <c r="E23" s="48">
        <v>964.30000000000018</v>
      </c>
      <c r="G23" t="s">
        <v>24</v>
      </c>
      <c r="H23" t="s">
        <v>23</v>
      </c>
      <c r="I23" s="48">
        <v>550</v>
      </c>
      <c r="K23" s="38" t="s">
        <v>18</v>
      </c>
      <c r="L23" s="48">
        <v>-2396.8999999999992</v>
      </c>
      <c r="M23" s="23"/>
      <c r="N23" s="23"/>
      <c r="O23" s="23"/>
      <c r="P23" s="23"/>
      <c r="S23" s="23"/>
      <c r="T23" s="23"/>
      <c r="W23" s="23"/>
    </row>
    <row r="24" spans="1:23" x14ac:dyDescent="0.35">
      <c r="A24" s="35" t="s">
        <v>32</v>
      </c>
      <c r="B24" s="48">
        <v>416.4</v>
      </c>
      <c r="D24" s="46" t="s">
        <v>54</v>
      </c>
      <c r="E24" s="48">
        <v>905</v>
      </c>
      <c r="G24" t="s">
        <v>18</v>
      </c>
      <c r="H24" t="s">
        <v>63</v>
      </c>
      <c r="I24" s="48">
        <v>1115</v>
      </c>
      <c r="K24" s="38" t="s">
        <v>21</v>
      </c>
      <c r="L24" s="48">
        <v>-3591.6999999999989</v>
      </c>
      <c r="M24" s="23"/>
      <c r="N24" s="23"/>
      <c r="O24" s="23"/>
      <c r="P24" s="23"/>
      <c r="S24" s="23"/>
      <c r="T24" s="23"/>
      <c r="W24" s="23"/>
    </row>
    <row r="25" spans="1:23" x14ac:dyDescent="0.35">
      <c r="A25" s="35" t="s">
        <v>12</v>
      </c>
      <c r="B25" s="48">
        <v>545.70000000000005</v>
      </c>
      <c r="D25" s="46" t="s">
        <v>55</v>
      </c>
      <c r="E25" s="48">
        <v>1017.9000000000005</v>
      </c>
      <c r="G25" t="s">
        <v>18</v>
      </c>
      <c r="H25" t="s">
        <v>72</v>
      </c>
      <c r="I25" s="48">
        <v>1281.9000000000001</v>
      </c>
      <c r="K25" s="38" t="s">
        <v>26</v>
      </c>
      <c r="L25" s="48">
        <v>-7327.6000000000013</v>
      </c>
      <c r="M25" s="23"/>
      <c r="N25" s="23"/>
      <c r="O25" s="23"/>
      <c r="P25" s="23"/>
      <c r="S25" s="23"/>
      <c r="T25" s="23"/>
      <c r="W25" s="23"/>
    </row>
    <row r="26" spans="1:23" x14ac:dyDescent="0.35">
      <c r="A26" s="35" t="s">
        <v>22</v>
      </c>
      <c r="B26" s="48">
        <v>495.00000000000006</v>
      </c>
      <c r="D26" s="46" t="s">
        <v>56</v>
      </c>
      <c r="E26" s="48">
        <v>882.90000000000009</v>
      </c>
      <c r="G26" t="s">
        <v>26</v>
      </c>
      <c r="H26" t="s">
        <v>16</v>
      </c>
      <c r="I26" s="48">
        <v>4303.6000000000004</v>
      </c>
      <c r="K26" s="38" t="s">
        <v>20</v>
      </c>
      <c r="L26" s="48">
        <v>-379</v>
      </c>
      <c r="M26" s="23"/>
      <c r="N26" s="23"/>
      <c r="O26" s="23"/>
      <c r="P26" s="23"/>
      <c r="S26" s="23"/>
      <c r="T26" s="23"/>
      <c r="W26" s="23"/>
    </row>
    <row r="27" spans="1:23" x14ac:dyDescent="0.35">
      <c r="A27" s="35" t="s">
        <v>14</v>
      </c>
      <c r="B27" s="48">
        <v>6454.0999999999995</v>
      </c>
      <c r="D27" s="46" t="s">
        <v>57</v>
      </c>
      <c r="E27" s="48">
        <v>871.30000000000018</v>
      </c>
      <c r="G27" t="s">
        <v>26</v>
      </c>
      <c r="H27" t="s">
        <v>15</v>
      </c>
      <c r="I27" s="48">
        <v>1812.5999999999995</v>
      </c>
      <c r="K27" s="38" t="s">
        <v>24</v>
      </c>
      <c r="L27" s="48">
        <v>-550</v>
      </c>
      <c r="M27" s="23"/>
      <c r="N27" s="23"/>
      <c r="O27" s="23"/>
      <c r="P27" s="23"/>
      <c r="S27" s="23"/>
    </row>
    <row r="28" spans="1:23" x14ac:dyDescent="0.35">
      <c r="A28" s="35" t="s">
        <v>17</v>
      </c>
      <c r="B28" s="48">
        <v>300</v>
      </c>
      <c r="D28" s="46" t="s">
        <v>34</v>
      </c>
      <c r="E28" s="48">
        <v>9355.0000000000073</v>
      </c>
      <c r="G28" t="s">
        <v>26</v>
      </c>
      <c r="H28" t="s">
        <v>32</v>
      </c>
      <c r="I28" s="48">
        <v>416.4</v>
      </c>
      <c r="K28" s="38" t="s">
        <v>34</v>
      </c>
      <c r="L28" s="48">
        <v>9354.9999999999964</v>
      </c>
      <c r="M28" s="23"/>
      <c r="N28" s="23"/>
      <c r="O28" s="23"/>
      <c r="P28" s="23"/>
      <c r="S28" s="23"/>
    </row>
    <row r="29" spans="1:23" x14ac:dyDescent="0.35">
      <c r="A29" s="35" t="s">
        <v>13</v>
      </c>
      <c r="B29" s="48">
        <v>1489.5</v>
      </c>
      <c r="G29" t="s">
        <v>26</v>
      </c>
      <c r="H29" t="s">
        <v>22</v>
      </c>
      <c r="I29" s="48">
        <v>495.00000000000006</v>
      </c>
      <c r="K29" s="23"/>
      <c r="L29" s="23"/>
      <c r="M29" s="23"/>
      <c r="S29" s="23"/>
    </row>
    <row r="30" spans="1:23" x14ac:dyDescent="0.35">
      <c r="A30" s="35" t="s">
        <v>29</v>
      </c>
      <c r="B30" s="48">
        <v>1500</v>
      </c>
      <c r="G30" t="s">
        <v>26</v>
      </c>
      <c r="H30" t="s">
        <v>17</v>
      </c>
      <c r="I30" s="48">
        <v>300</v>
      </c>
      <c r="K30" s="23"/>
      <c r="L30" s="23"/>
      <c r="M30" s="23"/>
      <c r="S30" s="23"/>
    </row>
    <row r="31" spans="1:23" x14ac:dyDescent="0.35">
      <c r="A31" s="35" t="s">
        <v>30</v>
      </c>
      <c r="B31" s="48">
        <v>400</v>
      </c>
      <c r="G31" t="s">
        <v>25</v>
      </c>
      <c r="H31" t="s">
        <v>12</v>
      </c>
      <c r="I31" s="48">
        <v>545.70000000000005</v>
      </c>
      <c r="K31" s="23"/>
      <c r="L31" s="23"/>
      <c r="M31" s="23"/>
      <c r="S31" s="23"/>
    </row>
    <row r="32" spans="1:23" x14ac:dyDescent="0.35">
      <c r="A32" s="35" t="s">
        <v>10</v>
      </c>
      <c r="B32" s="48">
        <v>9000</v>
      </c>
      <c r="G32" t="s">
        <v>25</v>
      </c>
      <c r="H32" t="s">
        <v>14</v>
      </c>
      <c r="I32" s="48">
        <v>6454.0999999999995</v>
      </c>
      <c r="K32" s="23"/>
      <c r="L32" s="23"/>
      <c r="M32" s="23"/>
      <c r="S32" s="23"/>
    </row>
    <row r="33" spans="1:19" x14ac:dyDescent="0.35">
      <c r="A33" s="35" t="s">
        <v>72</v>
      </c>
      <c r="B33" s="48">
        <v>1281.8999999999999</v>
      </c>
      <c r="G33" t="s">
        <v>25</v>
      </c>
      <c r="H33" t="s">
        <v>30</v>
      </c>
      <c r="I33" s="48">
        <v>400</v>
      </c>
      <c r="K33" s="23"/>
      <c r="L33" s="23"/>
      <c r="M33" s="23"/>
      <c r="S33" s="23"/>
    </row>
    <row r="34" spans="1:19" x14ac:dyDescent="0.35">
      <c r="A34" s="35" t="s">
        <v>7</v>
      </c>
      <c r="B34" s="48"/>
      <c r="G34" t="s">
        <v>25</v>
      </c>
      <c r="H34" t="s">
        <v>10</v>
      </c>
      <c r="I34" s="48">
        <v>9000</v>
      </c>
      <c r="K34" s="23"/>
      <c r="L34" s="23"/>
      <c r="M34" s="23"/>
      <c r="S34" s="23"/>
    </row>
    <row r="35" spans="1:19" x14ac:dyDescent="0.35">
      <c r="A35" s="35" t="s">
        <v>27</v>
      </c>
      <c r="B35" s="48">
        <v>602.20000000000016</v>
      </c>
      <c r="G35" t="s">
        <v>20</v>
      </c>
      <c r="H35" t="s">
        <v>19</v>
      </c>
      <c r="I35" s="48">
        <v>154</v>
      </c>
      <c r="K35" s="23"/>
      <c r="L35" s="23"/>
      <c r="M35" s="23"/>
      <c r="S35" s="23"/>
    </row>
    <row r="36" spans="1:19" x14ac:dyDescent="0.35">
      <c r="A36" s="35" t="s">
        <v>34</v>
      </c>
      <c r="B36" s="48">
        <v>30645.000000000004</v>
      </c>
      <c r="G36" t="s">
        <v>20</v>
      </c>
      <c r="H36" t="s">
        <v>31</v>
      </c>
      <c r="I36" s="48">
        <v>225</v>
      </c>
      <c r="K36" s="23"/>
      <c r="L36" s="23"/>
      <c r="M36" s="23"/>
      <c r="S36" s="23"/>
    </row>
    <row r="37" spans="1:19" x14ac:dyDescent="0.35">
      <c r="G37" t="s">
        <v>7</v>
      </c>
      <c r="H37" t="s">
        <v>16</v>
      </c>
      <c r="I37" s="48"/>
      <c r="K37" s="23"/>
      <c r="L37" s="23"/>
      <c r="M37" s="23"/>
    </row>
    <row r="38" spans="1:19" x14ac:dyDescent="0.35">
      <c r="G38" t="s">
        <v>7</v>
      </c>
      <c r="H38" t="s">
        <v>63</v>
      </c>
      <c r="I38" s="48"/>
    </row>
    <row r="39" spans="1:19" x14ac:dyDescent="0.35">
      <c r="G39" t="s">
        <v>7</v>
      </c>
      <c r="H39" t="s">
        <v>19</v>
      </c>
      <c r="I39" s="48"/>
    </row>
    <row r="40" spans="1:19" x14ac:dyDescent="0.35">
      <c r="G40" t="s">
        <v>7</v>
      </c>
      <c r="H40" t="s">
        <v>31</v>
      </c>
      <c r="I40" s="48"/>
    </row>
    <row r="41" spans="1:19" x14ac:dyDescent="0.35">
      <c r="G41" t="s">
        <v>7</v>
      </c>
      <c r="H41" t="s">
        <v>23</v>
      </c>
      <c r="I41" s="48"/>
    </row>
    <row r="42" spans="1:19" x14ac:dyDescent="0.35">
      <c r="G42" t="s">
        <v>7</v>
      </c>
      <c r="H42" t="s">
        <v>15</v>
      </c>
      <c r="I42" s="48"/>
    </row>
    <row r="43" spans="1:19" x14ac:dyDescent="0.35">
      <c r="G43" t="s">
        <v>7</v>
      </c>
      <c r="H43" t="s">
        <v>32</v>
      </c>
      <c r="I43" s="48"/>
    </row>
    <row r="44" spans="1:19" x14ac:dyDescent="0.35">
      <c r="G44" t="s">
        <v>7</v>
      </c>
      <c r="H44" t="s">
        <v>12</v>
      </c>
      <c r="I44" s="48"/>
    </row>
    <row r="45" spans="1:19" x14ac:dyDescent="0.35">
      <c r="G45" t="s">
        <v>7</v>
      </c>
      <c r="H45" t="s">
        <v>22</v>
      </c>
      <c r="I45" s="48"/>
    </row>
    <row r="46" spans="1:19" x14ac:dyDescent="0.35">
      <c r="G46" t="s">
        <v>7</v>
      </c>
      <c r="H46" t="s">
        <v>14</v>
      </c>
      <c r="I46" s="48"/>
    </row>
    <row r="47" spans="1:19" x14ac:dyDescent="0.35">
      <c r="G47" t="s">
        <v>7</v>
      </c>
      <c r="H47" t="s">
        <v>17</v>
      </c>
      <c r="I47" s="48"/>
    </row>
    <row r="48" spans="1:19" x14ac:dyDescent="0.35">
      <c r="G48" t="s">
        <v>7</v>
      </c>
      <c r="H48" t="s">
        <v>13</v>
      </c>
      <c r="I48" s="48"/>
    </row>
    <row r="49" spans="7:9" x14ac:dyDescent="0.35">
      <c r="G49" t="s">
        <v>7</v>
      </c>
      <c r="H49" t="s">
        <v>29</v>
      </c>
      <c r="I49" s="48"/>
    </row>
    <row r="50" spans="7:9" x14ac:dyDescent="0.35">
      <c r="G50" t="s">
        <v>7</v>
      </c>
      <c r="H50" t="s">
        <v>30</v>
      </c>
      <c r="I50" s="48"/>
    </row>
    <row r="51" spans="7:9" x14ac:dyDescent="0.35">
      <c r="G51" t="s">
        <v>7</v>
      </c>
      <c r="H51" t="s">
        <v>10</v>
      </c>
      <c r="I51" s="48"/>
    </row>
    <row r="52" spans="7:9" x14ac:dyDescent="0.35">
      <c r="G52" t="s">
        <v>7</v>
      </c>
      <c r="H52" t="s">
        <v>72</v>
      </c>
      <c r="I52" s="48"/>
    </row>
    <row r="53" spans="7:9" x14ac:dyDescent="0.35">
      <c r="G53" t="s">
        <v>7</v>
      </c>
      <c r="H53" t="s">
        <v>7</v>
      </c>
      <c r="I53" s="48"/>
    </row>
    <row r="54" spans="7:9" x14ac:dyDescent="0.35">
      <c r="G54" t="s">
        <v>7</v>
      </c>
      <c r="H54" t="s">
        <v>27</v>
      </c>
      <c r="I54" s="48"/>
    </row>
    <row r="55" spans="7:9" x14ac:dyDescent="0.35">
      <c r="G55" t="s">
        <v>21</v>
      </c>
      <c r="H55" t="s">
        <v>13</v>
      </c>
      <c r="I55" s="48">
        <v>1489.5</v>
      </c>
    </row>
    <row r="56" spans="7:9" x14ac:dyDescent="0.35">
      <c r="G56" t="s">
        <v>21</v>
      </c>
      <c r="H56" t="s">
        <v>29</v>
      </c>
      <c r="I56" s="48">
        <v>1500</v>
      </c>
    </row>
    <row r="57" spans="7:9" x14ac:dyDescent="0.35">
      <c r="G57" t="s">
        <v>21</v>
      </c>
      <c r="H57" t="s">
        <v>27</v>
      </c>
      <c r="I57" s="48">
        <v>602.20000000000016</v>
      </c>
    </row>
    <row r="59" spans="7:9" x14ac:dyDescent="0.35">
      <c r="H59" s="23"/>
    </row>
    <row r="60" spans="7:9" x14ac:dyDescent="0.35">
      <c r="H60" s="23"/>
    </row>
    <row r="61" spans="7:9" x14ac:dyDescent="0.35">
      <c r="H61" s="23"/>
    </row>
    <row r="62" spans="7:9" x14ac:dyDescent="0.35">
      <c r="H62" s="23"/>
    </row>
    <row r="63" spans="7:9" x14ac:dyDescent="0.35">
      <c r="H63" s="23"/>
    </row>
    <row r="64" spans="7:9" x14ac:dyDescent="0.35">
      <c r="H64" s="23"/>
    </row>
    <row r="65" spans="8:8" x14ac:dyDescent="0.35">
      <c r="H65" s="23"/>
    </row>
    <row r="66" spans="8:8" x14ac:dyDescent="0.35">
      <c r="H66" s="23"/>
    </row>
    <row r="67" spans="8:8" x14ac:dyDescent="0.35">
      <c r="H67" s="23"/>
    </row>
    <row r="68" spans="8:8" x14ac:dyDescent="0.35">
      <c r="H68" s="23"/>
    </row>
    <row r="69" spans="8:8" x14ac:dyDescent="0.35">
      <c r="H69" s="23"/>
    </row>
    <row r="70" spans="8:8" x14ac:dyDescent="0.35">
      <c r="H70" s="23"/>
    </row>
    <row r="71" spans="8:8" x14ac:dyDescent="0.35">
      <c r="H71" s="23"/>
    </row>
    <row r="72" spans="8:8" x14ac:dyDescent="0.35">
      <c r="H72" s="23"/>
    </row>
    <row r="73" spans="8:8" x14ac:dyDescent="0.35">
      <c r="H73" s="23"/>
    </row>
    <row r="74" spans="8:8" x14ac:dyDescent="0.35">
      <c r="H74" s="23"/>
    </row>
    <row r="75" spans="8:8" x14ac:dyDescent="0.35">
      <c r="H75" s="23"/>
    </row>
    <row r="76" spans="8:8" x14ac:dyDescent="0.35">
      <c r="H76" s="23"/>
    </row>
    <row r="77" spans="8:8" x14ac:dyDescent="0.35">
      <c r="H77" s="23"/>
    </row>
    <row r="78" spans="8:8" x14ac:dyDescent="0.35">
      <c r="H78" s="23"/>
    </row>
    <row r="79" spans="8:8" x14ac:dyDescent="0.35">
      <c r="H79" s="23"/>
    </row>
    <row r="80" spans="8:8" x14ac:dyDescent="0.35">
      <c r="H80" s="23"/>
    </row>
    <row r="81" spans="8:8" x14ac:dyDescent="0.35">
      <c r="H81" s="23"/>
    </row>
    <row r="82" spans="8:8" x14ac:dyDescent="0.35">
      <c r="H82" s="23"/>
    </row>
    <row r="83" spans="8:8" x14ac:dyDescent="0.35">
      <c r="H83" s="23"/>
    </row>
    <row r="84" spans="8:8" x14ac:dyDescent="0.35">
      <c r="H84" s="23"/>
    </row>
    <row r="85" spans="8:8" x14ac:dyDescent="0.35">
      <c r="H85" s="23"/>
    </row>
    <row r="86" spans="8:8" x14ac:dyDescent="0.35">
      <c r="H86" s="23"/>
    </row>
    <row r="87" spans="8:8" x14ac:dyDescent="0.35">
      <c r="H87" s="23"/>
    </row>
    <row r="88" spans="8:8" x14ac:dyDescent="0.35">
      <c r="H88" s="23"/>
    </row>
    <row r="89" spans="8:8" x14ac:dyDescent="0.35">
      <c r="H89" s="23"/>
    </row>
    <row r="90" spans="8:8" x14ac:dyDescent="0.35">
      <c r="H90" s="23"/>
    </row>
    <row r="91" spans="8:8" x14ac:dyDescent="0.35">
      <c r="H91" s="23"/>
    </row>
    <row r="92" spans="8:8" x14ac:dyDescent="0.35">
      <c r="H92" s="23"/>
    </row>
    <row r="93" spans="8:8" x14ac:dyDescent="0.35">
      <c r="H93" s="23"/>
    </row>
    <row r="94" spans="8:8" x14ac:dyDescent="0.35">
      <c r="H94" s="23"/>
    </row>
    <row r="95" spans="8:8" x14ac:dyDescent="0.35">
      <c r="H95" s="23"/>
    </row>
    <row r="96" spans="8:8" x14ac:dyDescent="0.35">
      <c r="H96" s="23"/>
    </row>
    <row r="97" spans="8:8" x14ac:dyDescent="0.35">
      <c r="H97" s="23"/>
    </row>
    <row r="98" spans="8:8" x14ac:dyDescent="0.35">
      <c r="H98" s="23"/>
    </row>
    <row r="99" spans="8:8" x14ac:dyDescent="0.35">
      <c r="H99" s="23"/>
    </row>
    <row r="100" spans="8:8" x14ac:dyDescent="0.35">
      <c r="H100" s="23"/>
    </row>
    <row r="101" spans="8:8" x14ac:dyDescent="0.35">
      <c r="H101" s="23"/>
    </row>
    <row r="102" spans="8:8" x14ac:dyDescent="0.35">
      <c r="H102" s="23"/>
    </row>
    <row r="103" spans="8:8" x14ac:dyDescent="0.35">
      <c r="H103" s="23"/>
    </row>
    <row r="104" spans="8:8" x14ac:dyDescent="0.35">
      <c r="H104" s="23"/>
    </row>
    <row r="105" spans="8:8" x14ac:dyDescent="0.35">
      <c r="H105" s="23"/>
    </row>
    <row r="106" spans="8:8" x14ac:dyDescent="0.35">
      <c r="H106" s="23"/>
    </row>
    <row r="107" spans="8:8" x14ac:dyDescent="0.35">
      <c r="H107" s="23"/>
    </row>
    <row r="108" spans="8:8" x14ac:dyDescent="0.35">
      <c r="H108" s="23"/>
    </row>
    <row r="109" spans="8:8" x14ac:dyDescent="0.35">
      <c r="H109" s="23"/>
    </row>
    <row r="110" spans="8:8" x14ac:dyDescent="0.35">
      <c r="H110" s="23"/>
    </row>
    <row r="111" spans="8:8" x14ac:dyDescent="0.35">
      <c r="H111" s="23"/>
    </row>
    <row r="112" spans="8:8" x14ac:dyDescent="0.35">
      <c r="H112" s="23"/>
    </row>
    <row r="113" spans="8:8" x14ac:dyDescent="0.35">
      <c r="H113" s="23"/>
    </row>
    <row r="114" spans="8:8" x14ac:dyDescent="0.35">
      <c r="H114" s="23"/>
    </row>
    <row r="115" spans="8:8" x14ac:dyDescent="0.35">
      <c r="H115" s="23"/>
    </row>
    <row r="116" spans="8:8" x14ac:dyDescent="0.35">
      <c r="H116" s="23"/>
    </row>
    <row r="117" spans="8:8" x14ac:dyDescent="0.35">
      <c r="H117" s="23"/>
    </row>
    <row r="118" spans="8:8" x14ac:dyDescent="0.35">
      <c r="H118" s="23"/>
    </row>
    <row r="119" spans="8:8" x14ac:dyDescent="0.35">
      <c r="H119" s="23"/>
    </row>
    <row r="120" spans="8:8" x14ac:dyDescent="0.35">
      <c r="H120" s="23"/>
    </row>
    <row r="121" spans="8:8" x14ac:dyDescent="0.35">
      <c r="H121" s="23"/>
    </row>
    <row r="122" spans="8:8" x14ac:dyDescent="0.35">
      <c r="H122" s="23"/>
    </row>
    <row r="123" spans="8:8" x14ac:dyDescent="0.35">
      <c r="H123" s="23"/>
    </row>
    <row r="124" spans="8:8" x14ac:dyDescent="0.35">
      <c r="H124" s="23"/>
    </row>
    <row r="125" spans="8:8" x14ac:dyDescent="0.35">
      <c r="H125" s="23"/>
    </row>
    <row r="126" spans="8:8" x14ac:dyDescent="0.35">
      <c r="H126" s="23"/>
    </row>
    <row r="127" spans="8:8" x14ac:dyDescent="0.35">
      <c r="H127" s="23"/>
    </row>
    <row r="128" spans="8:8" x14ac:dyDescent="0.35">
      <c r="H128" s="23"/>
    </row>
    <row r="129" spans="8:8" x14ac:dyDescent="0.35">
      <c r="H129" s="23"/>
    </row>
    <row r="130" spans="8:8" x14ac:dyDescent="0.35">
      <c r="H130" s="23"/>
    </row>
    <row r="131" spans="8:8" x14ac:dyDescent="0.35">
      <c r="H131" s="23"/>
    </row>
    <row r="132" spans="8:8" x14ac:dyDescent="0.35">
      <c r="H132" s="23"/>
    </row>
    <row r="133" spans="8:8" x14ac:dyDescent="0.35">
      <c r="H133" s="23"/>
    </row>
    <row r="134" spans="8:8" x14ac:dyDescent="0.35">
      <c r="H134" s="23"/>
    </row>
    <row r="135" spans="8:8" x14ac:dyDescent="0.35">
      <c r="H135" s="23"/>
    </row>
    <row r="136" spans="8:8" x14ac:dyDescent="0.35">
      <c r="H136" s="23"/>
    </row>
    <row r="137" spans="8:8" x14ac:dyDescent="0.35">
      <c r="H137" s="23"/>
    </row>
    <row r="138" spans="8:8" x14ac:dyDescent="0.35">
      <c r="H138" s="23"/>
    </row>
    <row r="139" spans="8:8" x14ac:dyDescent="0.35">
      <c r="H139" s="23"/>
    </row>
    <row r="140" spans="8:8" x14ac:dyDescent="0.35">
      <c r="H140" s="23"/>
    </row>
    <row r="141" spans="8:8" x14ac:dyDescent="0.35">
      <c r="H141" s="23"/>
    </row>
    <row r="142" spans="8:8" x14ac:dyDescent="0.35">
      <c r="H142" s="23"/>
    </row>
    <row r="143" spans="8:8" x14ac:dyDescent="0.35">
      <c r="H143" s="23"/>
    </row>
    <row r="144" spans="8:8" x14ac:dyDescent="0.35">
      <c r="H144" s="23"/>
    </row>
    <row r="145" spans="8:8" x14ac:dyDescent="0.35">
      <c r="H145" s="23"/>
    </row>
    <row r="146" spans="8:8" x14ac:dyDescent="0.35">
      <c r="H146" s="23"/>
    </row>
    <row r="147" spans="8:8" x14ac:dyDescent="0.35">
      <c r="H147" s="23"/>
    </row>
    <row r="148" spans="8:8" x14ac:dyDescent="0.35">
      <c r="H148" s="23"/>
    </row>
    <row r="149" spans="8:8" x14ac:dyDescent="0.35">
      <c r="H149" s="23"/>
    </row>
    <row r="150" spans="8:8" x14ac:dyDescent="0.35">
      <c r="H150" s="23"/>
    </row>
    <row r="151" spans="8:8" x14ac:dyDescent="0.35">
      <c r="H151" s="23"/>
    </row>
    <row r="152" spans="8:8" x14ac:dyDescent="0.35">
      <c r="H152" s="23"/>
    </row>
    <row r="153" spans="8:8" x14ac:dyDescent="0.35">
      <c r="H153" s="23"/>
    </row>
    <row r="154" spans="8:8" x14ac:dyDescent="0.35">
      <c r="H154" s="23"/>
    </row>
    <row r="155" spans="8:8" x14ac:dyDescent="0.35">
      <c r="H155" s="23"/>
    </row>
    <row r="156" spans="8:8" x14ac:dyDescent="0.35">
      <c r="H156" s="23"/>
    </row>
    <row r="157" spans="8:8" x14ac:dyDescent="0.35">
      <c r="H157" s="23"/>
    </row>
    <row r="158" spans="8:8" x14ac:dyDescent="0.35">
      <c r="H158" s="23"/>
    </row>
    <row r="159" spans="8:8" x14ac:dyDescent="0.35">
      <c r="H159" s="23"/>
    </row>
    <row r="160" spans="8:8" x14ac:dyDescent="0.35">
      <c r="H160" s="23"/>
    </row>
    <row r="161" spans="8:8" x14ac:dyDescent="0.35">
      <c r="H161" s="23"/>
    </row>
    <row r="162" spans="8:8" x14ac:dyDescent="0.35">
      <c r="H162" s="23"/>
    </row>
    <row r="163" spans="8:8" x14ac:dyDescent="0.35">
      <c r="H163" s="23"/>
    </row>
    <row r="164" spans="8:8" x14ac:dyDescent="0.35">
      <c r="H164" s="23"/>
    </row>
    <row r="165" spans="8:8" x14ac:dyDescent="0.35">
      <c r="H165" s="23"/>
    </row>
    <row r="166" spans="8:8" x14ac:dyDescent="0.35">
      <c r="H166" s="23"/>
    </row>
    <row r="167" spans="8:8" x14ac:dyDescent="0.35">
      <c r="H167" s="23"/>
    </row>
    <row r="168" spans="8:8" x14ac:dyDescent="0.35">
      <c r="H168" s="23"/>
    </row>
    <row r="169" spans="8:8" x14ac:dyDescent="0.35">
      <c r="H169" s="23"/>
    </row>
    <row r="170" spans="8:8" x14ac:dyDescent="0.35">
      <c r="H170" s="23"/>
    </row>
    <row r="171" spans="8:8" x14ac:dyDescent="0.35">
      <c r="H171" s="23"/>
    </row>
    <row r="172" spans="8:8" x14ac:dyDescent="0.35">
      <c r="H172" s="23"/>
    </row>
    <row r="173" spans="8:8" x14ac:dyDescent="0.35">
      <c r="H173" s="23"/>
    </row>
    <row r="174" spans="8:8" x14ac:dyDescent="0.35">
      <c r="H174" s="23"/>
    </row>
    <row r="175" spans="8:8" x14ac:dyDescent="0.35">
      <c r="H175" s="23"/>
    </row>
    <row r="176" spans="8:8" x14ac:dyDescent="0.35">
      <c r="H176" s="23"/>
    </row>
    <row r="177" spans="8:8" x14ac:dyDescent="0.35">
      <c r="H177" s="23"/>
    </row>
    <row r="178" spans="8:8" x14ac:dyDescent="0.35">
      <c r="H178" s="23"/>
    </row>
    <row r="179" spans="8:8" x14ac:dyDescent="0.35">
      <c r="H179" s="23"/>
    </row>
    <row r="180" spans="8:8" x14ac:dyDescent="0.35">
      <c r="H180" s="23"/>
    </row>
    <row r="181" spans="8:8" x14ac:dyDescent="0.35">
      <c r="H181" s="23"/>
    </row>
    <row r="182" spans="8:8" x14ac:dyDescent="0.35">
      <c r="H182" s="23"/>
    </row>
    <row r="183" spans="8:8" x14ac:dyDescent="0.35">
      <c r="H183" s="23"/>
    </row>
    <row r="184" spans="8:8" x14ac:dyDescent="0.35">
      <c r="H184" s="23"/>
    </row>
    <row r="185" spans="8:8" x14ac:dyDescent="0.35">
      <c r="H185" s="23"/>
    </row>
    <row r="186" spans="8:8" x14ac:dyDescent="0.35">
      <c r="H186" s="23"/>
    </row>
    <row r="187" spans="8:8" x14ac:dyDescent="0.35">
      <c r="H187" s="23"/>
    </row>
    <row r="188" spans="8:8" x14ac:dyDescent="0.35">
      <c r="H188" s="23"/>
    </row>
    <row r="189" spans="8:8" x14ac:dyDescent="0.35">
      <c r="H189" s="23"/>
    </row>
    <row r="190" spans="8:8" x14ac:dyDescent="0.35">
      <c r="H190" s="23"/>
    </row>
    <row r="191" spans="8:8" x14ac:dyDescent="0.35">
      <c r="H191" s="23"/>
    </row>
    <row r="192" spans="8:8" x14ac:dyDescent="0.35">
      <c r="H192" s="23"/>
    </row>
    <row r="193" spans="8:8" x14ac:dyDescent="0.35">
      <c r="H193" s="23"/>
    </row>
    <row r="194" spans="8:8" x14ac:dyDescent="0.35">
      <c r="H194" s="23"/>
    </row>
    <row r="195" spans="8:8" x14ac:dyDescent="0.35">
      <c r="H195" s="23"/>
    </row>
    <row r="196" spans="8:8" x14ac:dyDescent="0.35">
      <c r="H196" s="23"/>
    </row>
    <row r="197" spans="8:8" x14ac:dyDescent="0.35">
      <c r="H197" s="23"/>
    </row>
    <row r="198" spans="8:8" x14ac:dyDescent="0.35">
      <c r="H198" s="23"/>
    </row>
    <row r="199" spans="8:8" x14ac:dyDescent="0.35">
      <c r="H199" s="23"/>
    </row>
    <row r="200" spans="8:8" x14ac:dyDescent="0.35">
      <c r="H200" s="23"/>
    </row>
    <row r="201" spans="8:8" x14ac:dyDescent="0.35">
      <c r="H201" s="23"/>
    </row>
    <row r="202" spans="8:8" x14ac:dyDescent="0.35">
      <c r="H202" s="23"/>
    </row>
    <row r="203" spans="8:8" x14ac:dyDescent="0.35">
      <c r="H203" s="23"/>
    </row>
    <row r="204" spans="8:8" x14ac:dyDescent="0.35">
      <c r="H204" s="23"/>
    </row>
    <row r="205" spans="8:8" x14ac:dyDescent="0.35">
      <c r="H205" s="23"/>
    </row>
    <row r="206" spans="8:8" x14ac:dyDescent="0.35">
      <c r="H206" s="23"/>
    </row>
    <row r="207" spans="8:8" x14ac:dyDescent="0.35">
      <c r="H207" s="23"/>
    </row>
    <row r="208" spans="8:8" x14ac:dyDescent="0.35">
      <c r="H208" s="23"/>
    </row>
    <row r="209" spans="8:8" x14ac:dyDescent="0.35">
      <c r="H209" s="23"/>
    </row>
    <row r="210" spans="8:8" x14ac:dyDescent="0.35">
      <c r="H210" s="23"/>
    </row>
    <row r="211" spans="8:8" x14ac:dyDescent="0.35">
      <c r="H211" s="23"/>
    </row>
    <row r="212" spans="8:8" x14ac:dyDescent="0.35">
      <c r="H212" s="23"/>
    </row>
    <row r="213" spans="8:8" x14ac:dyDescent="0.35">
      <c r="H213" s="23"/>
    </row>
    <row r="214" spans="8:8" x14ac:dyDescent="0.35">
      <c r="H214" s="23"/>
    </row>
    <row r="215" spans="8:8" x14ac:dyDescent="0.35">
      <c r="H215" s="23"/>
    </row>
    <row r="216" spans="8:8" x14ac:dyDescent="0.35">
      <c r="H216" s="23"/>
    </row>
    <row r="217" spans="8:8" x14ac:dyDescent="0.35">
      <c r="H217" s="23"/>
    </row>
    <row r="218" spans="8:8" x14ac:dyDescent="0.35">
      <c r="H218" s="23"/>
    </row>
    <row r="219" spans="8:8" x14ac:dyDescent="0.35">
      <c r="H219" s="23"/>
    </row>
    <row r="220" spans="8:8" x14ac:dyDescent="0.35">
      <c r="H220" s="23"/>
    </row>
    <row r="221" spans="8:8" x14ac:dyDescent="0.35">
      <c r="H221" s="23"/>
    </row>
    <row r="222" spans="8:8" x14ac:dyDescent="0.35">
      <c r="H222" s="23"/>
    </row>
    <row r="223" spans="8:8" x14ac:dyDescent="0.35">
      <c r="H223" s="23"/>
    </row>
    <row r="224" spans="8:8" x14ac:dyDescent="0.35">
      <c r="H224" s="23"/>
    </row>
    <row r="225" spans="8:8" x14ac:dyDescent="0.35">
      <c r="H225" s="23"/>
    </row>
    <row r="226" spans="8:8" x14ac:dyDescent="0.35">
      <c r="H226" s="23"/>
    </row>
    <row r="227" spans="8:8" x14ac:dyDescent="0.35">
      <c r="H227" s="23"/>
    </row>
    <row r="228" spans="8:8" x14ac:dyDescent="0.35">
      <c r="H228" s="23"/>
    </row>
    <row r="229" spans="8:8" x14ac:dyDescent="0.35">
      <c r="H229" s="23"/>
    </row>
    <row r="230" spans="8:8" x14ac:dyDescent="0.35">
      <c r="H230" s="23"/>
    </row>
    <row r="231" spans="8:8" x14ac:dyDescent="0.35">
      <c r="H231" s="23"/>
    </row>
    <row r="232" spans="8:8" x14ac:dyDescent="0.35">
      <c r="H232" s="23"/>
    </row>
    <row r="233" spans="8:8" x14ac:dyDescent="0.35">
      <c r="H233" s="23"/>
    </row>
    <row r="234" spans="8:8" x14ac:dyDescent="0.35">
      <c r="H234" s="23"/>
    </row>
    <row r="235" spans="8:8" x14ac:dyDescent="0.35">
      <c r="H235" s="23"/>
    </row>
    <row r="236" spans="8:8" x14ac:dyDescent="0.35">
      <c r="H236" s="23"/>
    </row>
    <row r="237" spans="8:8" x14ac:dyDescent="0.35">
      <c r="H237" s="23"/>
    </row>
    <row r="238" spans="8:8" x14ac:dyDescent="0.35">
      <c r="H238" s="23"/>
    </row>
    <row r="239" spans="8:8" x14ac:dyDescent="0.35">
      <c r="H239" s="23"/>
    </row>
    <row r="240" spans="8:8" x14ac:dyDescent="0.35">
      <c r="H240" s="23"/>
    </row>
    <row r="241" spans="8:8" x14ac:dyDescent="0.35">
      <c r="H241" s="23"/>
    </row>
    <row r="242" spans="8:8" x14ac:dyDescent="0.35">
      <c r="H242" s="23"/>
    </row>
    <row r="243" spans="8:8" x14ac:dyDescent="0.35">
      <c r="H243" s="23"/>
    </row>
    <row r="244" spans="8:8" x14ac:dyDescent="0.35">
      <c r="H244" s="23"/>
    </row>
    <row r="245" spans="8:8" x14ac:dyDescent="0.35">
      <c r="H245" s="23"/>
    </row>
    <row r="246" spans="8:8" x14ac:dyDescent="0.35">
      <c r="H246" s="23"/>
    </row>
    <row r="247" spans="8:8" x14ac:dyDescent="0.35">
      <c r="H247" s="23"/>
    </row>
    <row r="248" spans="8:8" x14ac:dyDescent="0.35">
      <c r="H248" s="23"/>
    </row>
    <row r="249" spans="8:8" x14ac:dyDescent="0.35">
      <c r="H249" s="23"/>
    </row>
    <row r="250" spans="8:8" x14ac:dyDescent="0.35">
      <c r="H250" s="23"/>
    </row>
    <row r="251" spans="8:8" x14ac:dyDescent="0.35">
      <c r="H251" s="23"/>
    </row>
    <row r="252" spans="8:8" x14ac:dyDescent="0.35">
      <c r="H252" s="23"/>
    </row>
    <row r="253" spans="8:8" x14ac:dyDescent="0.35">
      <c r="H253" s="23"/>
    </row>
    <row r="254" spans="8:8" x14ac:dyDescent="0.35">
      <c r="H254" s="23"/>
    </row>
    <row r="255" spans="8:8" x14ac:dyDescent="0.35">
      <c r="H255" s="23"/>
    </row>
    <row r="256" spans="8:8" x14ac:dyDescent="0.35">
      <c r="H256" s="23"/>
    </row>
    <row r="257" spans="8:8" x14ac:dyDescent="0.35">
      <c r="H257" s="23"/>
    </row>
    <row r="258" spans="8:8" x14ac:dyDescent="0.35">
      <c r="H258" s="23"/>
    </row>
    <row r="259" spans="8:8" x14ac:dyDescent="0.35">
      <c r="H259" s="23"/>
    </row>
    <row r="260" spans="8:8" x14ac:dyDescent="0.35">
      <c r="H260" s="23"/>
    </row>
    <row r="261" spans="8:8" x14ac:dyDescent="0.35">
      <c r="H261" s="23"/>
    </row>
    <row r="262" spans="8:8" x14ac:dyDescent="0.35">
      <c r="H262" s="23"/>
    </row>
    <row r="263" spans="8:8" x14ac:dyDescent="0.35">
      <c r="H263" s="23"/>
    </row>
    <row r="264" spans="8:8" x14ac:dyDescent="0.35">
      <c r="H264" s="23"/>
    </row>
    <row r="265" spans="8:8" x14ac:dyDescent="0.35">
      <c r="H265" s="23"/>
    </row>
    <row r="266" spans="8:8" x14ac:dyDescent="0.35">
      <c r="H266" s="23"/>
    </row>
    <row r="267" spans="8:8" x14ac:dyDescent="0.35">
      <c r="H267" s="23"/>
    </row>
    <row r="268" spans="8:8" x14ac:dyDescent="0.35">
      <c r="H268" s="23"/>
    </row>
    <row r="269" spans="8:8" x14ac:dyDescent="0.35">
      <c r="H269" s="23"/>
    </row>
    <row r="270" spans="8:8" x14ac:dyDescent="0.35">
      <c r="H270" s="23"/>
    </row>
    <row r="271" spans="8:8" x14ac:dyDescent="0.35">
      <c r="H271" s="23"/>
    </row>
    <row r="272" spans="8:8" x14ac:dyDescent="0.35">
      <c r="H272" s="23"/>
    </row>
    <row r="273" spans="8:8" x14ac:dyDescent="0.35">
      <c r="H273" s="23"/>
    </row>
    <row r="274" spans="8:8" x14ac:dyDescent="0.35">
      <c r="H274" s="23"/>
    </row>
    <row r="275" spans="8:8" x14ac:dyDescent="0.35">
      <c r="H275" s="23"/>
    </row>
    <row r="276" spans="8:8" x14ac:dyDescent="0.35">
      <c r="H276" s="23"/>
    </row>
    <row r="277" spans="8:8" x14ac:dyDescent="0.35">
      <c r="H277" s="23"/>
    </row>
    <row r="278" spans="8:8" x14ac:dyDescent="0.35">
      <c r="H278" s="23"/>
    </row>
    <row r="279" spans="8:8" x14ac:dyDescent="0.35">
      <c r="H279" s="23"/>
    </row>
    <row r="280" spans="8:8" x14ac:dyDescent="0.35">
      <c r="H280" s="23"/>
    </row>
    <row r="281" spans="8:8" x14ac:dyDescent="0.35">
      <c r="H281" s="23"/>
    </row>
    <row r="282" spans="8:8" x14ac:dyDescent="0.35">
      <c r="H282" s="23"/>
    </row>
    <row r="283" spans="8:8" x14ac:dyDescent="0.35">
      <c r="H283" s="23"/>
    </row>
    <row r="284" spans="8:8" x14ac:dyDescent="0.35">
      <c r="H284" s="23"/>
    </row>
    <row r="285" spans="8:8" x14ac:dyDescent="0.35">
      <c r="H285" s="2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31F74-5EFF-4E8A-B22B-18A2CB322995}">
  <sheetPr codeName="Sheet3"/>
  <dimension ref="A1:I536"/>
  <sheetViews>
    <sheetView showGridLines="0" workbookViewId="0">
      <selection activeCell="C31" sqref="C31"/>
    </sheetView>
  </sheetViews>
  <sheetFormatPr defaultRowHeight="14.5" x14ac:dyDescent="0.35"/>
  <cols>
    <col min="1" max="1" width="9.90625" style="1" bestFit="1" customWidth="1"/>
    <col min="2" max="2" width="15" style="2" customWidth="1"/>
    <col min="3" max="3" width="11.26953125" style="49" customWidth="1"/>
    <col min="4" max="4" width="9.90625" style="49" bestFit="1" customWidth="1"/>
    <col min="5" max="5" width="11.453125" style="49" customWidth="1"/>
    <col min="6" max="6" width="14" style="1" bestFit="1" customWidth="1"/>
    <col min="7" max="7" width="13.7265625" style="1" bestFit="1" customWidth="1"/>
    <col min="8" max="8" width="15" style="1" bestFit="1" customWidth="1"/>
    <col min="9" max="9" width="18.26953125" style="1" customWidth="1"/>
    <col min="13" max="13" width="13.7265625" bestFit="1" customWidth="1"/>
    <col min="14" max="18" width="15.1796875" bestFit="1" customWidth="1"/>
    <col min="19" max="20" width="11.26953125" bestFit="1" customWidth="1"/>
    <col min="21" max="23" width="10.7265625" bestFit="1" customWidth="1"/>
    <col min="24" max="24" width="11.26953125" bestFit="1" customWidth="1"/>
    <col min="25" max="38" width="10.1796875" bestFit="1" customWidth="1"/>
    <col min="39" max="39" width="8.7265625" bestFit="1" customWidth="1"/>
    <col min="40" max="65" width="7" bestFit="1" customWidth="1"/>
    <col min="66" max="66" width="9.1796875" bestFit="1" customWidth="1"/>
    <col min="67" max="95" width="7.26953125" bestFit="1" customWidth="1"/>
    <col min="96" max="96" width="9.453125" bestFit="1" customWidth="1"/>
    <col min="97" max="124" width="6.81640625" bestFit="1" customWidth="1"/>
    <col min="125" max="125" width="9" bestFit="1" customWidth="1"/>
    <col min="126" max="153" width="7.54296875" bestFit="1" customWidth="1"/>
    <col min="154" max="154" width="9.7265625" bestFit="1" customWidth="1"/>
    <col min="155" max="181" width="6.7265625" bestFit="1" customWidth="1"/>
    <col min="182" max="182" width="8.81640625" bestFit="1" customWidth="1"/>
    <col min="183" max="210" width="6.26953125" bestFit="1" customWidth="1"/>
    <col min="211" max="211" width="8.26953125" bestFit="1" customWidth="1"/>
    <col min="212" max="238" width="7.1796875" bestFit="1" customWidth="1"/>
    <col min="239" max="239" width="9.26953125" bestFit="1" customWidth="1"/>
    <col min="240" max="265" width="7" bestFit="1" customWidth="1"/>
    <col min="266" max="266" width="9.1796875" bestFit="1" customWidth="1"/>
    <col min="267" max="293" width="6.7265625" bestFit="1" customWidth="1"/>
    <col min="294" max="294" width="8.81640625" bestFit="1" customWidth="1"/>
    <col min="295" max="296" width="6.453125" bestFit="1" customWidth="1"/>
    <col min="297" max="297" width="9.453125" bestFit="1" customWidth="1"/>
    <col min="298" max="298" width="11.26953125" bestFit="1" customWidth="1"/>
  </cols>
  <sheetData>
    <row r="1" spans="1:9" x14ac:dyDescent="0.35">
      <c r="A1" t="s">
        <v>2</v>
      </c>
      <c r="B1" s="31" t="s">
        <v>0</v>
      </c>
      <c r="C1" s="48" t="s">
        <v>4</v>
      </c>
      <c r="D1" s="48" t="s">
        <v>5</v>
      </c>
      <c r="E1" s="50" t="s">
        <v>28</v>
      </c>
      <c r="F1" s="26" t="s">
        <v>33</v>
      </c>
      <c r="G1" s="26" t="s">
        <v>3</v>
      </c>
      <c r="H1" s="32" t="s">
        <v>6</v>
      </c>
      <c r="I1" t="s">
        <v>1</v>
      </c>
    </row>
    <row r="2" spans="1:9" x14ac:dyDescent="0.35">
      <c r="A2" t="s">
        <v>9</v>
      </c>
      <c r="B2" s="30">
        <v>44200</v>
      </c>
      <c r="C2" s="48"/>
      <c r="D2" s="48">
        <v>4000</v>
      </c>
      <c r="E2" s="51">
        <f t="shared" ref="E2:E65" si="0">D2-C2</f>
        <v>4000</v>
      </c>
      <c r="F2" s="33" t="s">
        <v>7</v>
      </c>
      <c r="G2" s="33" t="str">
        <f>_xlfn.XLOOKUP(Transactions[[#This Row],[Sub-category]], [1]!TblDV[Sub-category],[1]!TblDV[Category],"")</f>
        <v>Salary</v>
      </c>
      <c r="H2" s="33" t="str">
        <f>_xlfn.XLOOKUP(Transactions[[#This Row],[Sub-category]], [1]!TblDV[Sub-category],[1]!TblDV[Category Type],"")</f>
        <v>Income</v>
      </c>
      <c r="I2" s="34" t="s">
        <v>61</v>
      </c>
    </row>
    <row r="3" spans="1:9" x14ac:dyDescent="0.35">
      <c r="A3" t="s">
        <v>5</v>
      </c>
      <c r="B3" s="30">
        <v>44200</v>
      </c>
      <c r="C3" s="48">
        <v>5</v>
      </c>
      <c r="D3" s="48"/>
      <c r="E3" s="51">
        <f t="shared" si="0"/>
        <v>-5</v>
      </c>
      <c r="F3" s="33" t="s">
        <v>63</v>
      </c>
      <c r="G3" s="33" t="str">
        <f>_xlfn.XLOOKUP(Transactions[[#This Row],[Sub-category]], [1]!TblDV[Sub-category],[1]!TblDV[Category],"")</f>
        <v>Dining Out</v>
      </c>
      <c r="H3" s="33" t="str">
        <f>_xlfn.XLOOKUP(Transactions[[#This Row],[Sub-category]], [1]!TblDV[Sub-category],[1]!TblDV[Category Type],"")</f>
        <v>Expense</v>
      </c>
      <c r="I3" s="34" t="s">
        <v>62</v>
      </c>
    </row>
    <row r="4" spans="1:9" x14ac:dyDescent="0.35">
      <c r="A4" t="s">
        <v>9</v>
      </c>
      <c r="B4" s="30">
        <v>44201</v>
      </c>
      <c r="C4" s="48">
        <v>900</v>
      </c>
      <c r="D4" s="48"/>
      <c r="E4" s="51">
        <f t="shared" si="0"/>
        <v>-900</v>
      </c>
      <c r="F4" s="33" t="s">
        <v>10</v>
      </c>
      <c r="G4" s="33" t="str">
        <f>_xlfn.XLOOKUP(Transactions[[#This Row],[Sub-category]], [1]!TblDV[Sub-category],[1]!TblDV[Category],"")</f>
        <v>Living Expenses</v>
      </c>
      <c r="H4" s="33" t="str">
        <f>_xlfn.XLOOKUP(Transactions[[#This Row],[Sub-category]], [1]!TblDV[Sub-category],[1]!TblDV[Category Type],"")</f>
        <v>Expense</v>
      </c>
      <c r="I4" s="34" t="s">
        <v>64</v>
      </c>
    </row>
    <row r="5" spans="1:9" x14ac:dyDescent="0.35">
      <c r="A5" t="s">
        <v>9</v>
      </c>
      <c r="B5" s="30">
        <v>44201</v>
      </c>
      <c r="C5" s="48">
        <v>150</v>
      </c>
      <c r="D5" s="48"/>
      <c r="E5" s="51">
        <f t="shared" si="0"/>
        <v>-150</v>
      </c>
      <c r="F5" s="33" t="s">
        <v>29</v>
      </c>
      <c r="G5" s="33" t="str">
        <f>_xlfn.XLOOKUP(Transactions[[#This Row],[Sub-category]], [1]!TblDV[Sub-category],[1]!TblDV[Category],"")</f>
        <v>Transport</v>
      </c>
      <c r="H5" s="33" t="str">
        <f>_xlfn.XLOOKUP(Transactions[[#This Row],[Sub-category]], [1]!TblDV[Sub-category],[1]!TblDV[Category Type],"")</f>
        <v>Expense</v>
      </c>
      <c r="I5" s="34" t="s">
        <v>65</v>
      </c>
    </row>
    <row r="6" spans="1:9" x14ac:dyDescent="0.35">
      <c r="A6" t="s">
        <v>5</v>
      </c>
      <c r="B6" s="30">
        <v>44201</v>
      </c>
      <c r="C6" s="48">
        <v>5</v>
      </c>
      <c r="D6" s="48"/>
      <c r="E6" s="51">
        <f t="shared" si="0"/>
        <v>-5</v>
      </c>
      <c r="F6" s="33" t="s">
        <v>63</v>
      </c>
      <c r="G6" s="33" t="str">
        <f>_xlfn.XLOOKUP(Transactions[[#This Row],[Sub-category]], [1]!TblDV[Sub-category],[1]!TblDV[Category],"")</f>
        <v>Dining Out</v>
      </c>
      <c r="H6" s="33" t="str">
        <f>_xlfn.XLOOKUP(Transactions[[#This Row],[Sub-category]], [1]!TblDV[Sub-category],[1]!TblDV[Category Type],"")</f>
        <v>Expense</v>
      </c>
      <c r="I6" s="34" t="s">
        <v>62</v>
      </c>
    </row>
    <row r="7" spans="1:9" x14ac:dyDescent="0.35">
      <c r="A7" t="s">
        <v>5</v>
      </c>
      <c r="B7" s="30">
        <v>44202</v>
      </c>
      <c r="C7" s="48">
        <v>5</v>
      </c>
      <c r="D7" s="48"/>
      <c r="E7" s="51">
        <f t="shared" si="0"/>
        <v>-5</v>
      </c>
      <c r="F7" s="33" t="s">
        <v>63</v>
      </c>
      <c r="G7" s="33" t="str">
        <f>_xlfn.XLOOKUP(Transactions[[#This Row],[Sub-category]], [1]!TblDV[Sub-category],[1]!TblDV[Category],"")</f>
        <v>Dining Out</v>
      </c>
      <c r="H7" s="33" t="str">
        <f>_xlfn.XLOOKUP(Transactions[[#This Row],[Sub-category]], [1]!TblDV[Sub-category],[1]!TblDV[Category Type],"")</f>
        <v>Expense</v>
      </c>
      <c r="I7" s="34" t="s">
        <v>62</v>
      </c>
    </row>
    <row r="8" spans="1:9" x14ac:dyDescent="0.35">
      <c r="A8" t="s">
        <v>5</v>
      </c>
      <c r="B8" s="30">
        <v>44203</v>
      </c>
      <c r="C8" s="48">
        <v>5</v>
      </c>
      <c r="D8" s="48"/>
      <c r="E8" s="51">
        <f t="shared" si="0"/>
        <v>-5</v>
      </c>
      <c r="F8" s="33" t="s">
        <v>63</v>
      </c>
      <c r="G8" s="33" t="str">
        <f>_xlfn.XLOOKUP(Transactions[[#This Row],[Sub-category]], [1]!TblDV[Sub-category],[1]!TblDV[Category],"")</f>
        <v>Dining Out</v>
      </c>
      <c r="H8" s="33" t="str">
        <f>_xlfn.XLOOKUP(Transactions[[#This Row],[Sub-category]], [1]!TblDV[Sub-category],[1]!TblDV[Category Type],"")</f>
        <v>Expense</v>
      </c>
      <c r="I8" s="34" t="s">
        <v>62</v>
      </c>
    </row>
    <row r="9" spans="1:9" x14ac:dyDescent="0.35">
      <c r="A9" t="s">
        <v>5</v>
      </c>
      <c r="B9" s="30">
        <v>44204</v>
      </c>
      <c r="C9" s="48">
        <v>5</v>
      </c>
      <c r="D9" s="48"/>
      <c r="E9" s="51">
        <f t="shared" si="0"/>
        <v>-5</v>
      </c>
      <c r="F9" s="33" t="s">
        <v>63</v>
      </c>
      <c r="G9" s="33" t="str">
        <f>_xlfn.XLOOKUP(Transactions[[#This Row],[Sub-category]], [1]!TblDV[Sub-category],[1]!TblDV[Category],"")</f>
        <v>Dining Out</v>
      </c>
      <c r="H9" s="33" t="str">
        <f>_xlfn.XLOOKUP(Transactions[[#This Row],[Sub-category]], [1]!TblDV[Sub-category],[1]!TblDV[Category Type],"")</f>
        <v>Expense</v>
      </c>
      <c r="I9" s="34" t="s">
        <v>62</v>
      </c>
    </row>
    <row r="10" spans="1:9" x14ac:dyDescent="0.35">
      <c r="A10" t="s">
        <v>5</v>
      </c>
      <c r="B10" s="30">
        <v>44204</v>
      </c>
      <c r="C10" s="48">
        <v>155</v>
      </c>
      <c r="D10" s="48"/>
      <c r="E10" s="51">
        <f t="shared" si="0"/>
        <v>-155</v>
      </c>
      <c r="F10" s="33" t="s">
        <v>14</v>
      </c>
      <c r="G10" s="33" t="str">
        <f>_xlfn.XLOOKUP(Transactions[[#This Row],[Sub-category]], [1]!TblDV[Sub-category],[1]!TblDV[Category],"")</f>
        <v>Living Expenses</v>
      </c>
      <c r="H10" s="33" t="str">
        <f>_xlfn.XLOOKUP(Transactions[[#This Row],[Sub-category]], [1]!TblDV[Sub-category],[1]!TblDV[Category Type],"")</f>
        <v>Expense</v>
      </c>
      <c r="I10" s="34" t="s">
        <v>66</v>
      </c>
    </row>
    <row r="11" spans="1:9" x14ac:dyDescent="0.35">
      <c r="A11" t="s">
        <v>9</v>
      </c>
      <c r="B11" s="30">
        <v>44207</v>
      </c>
      <c r="C11" s="48">
        <v>50</v>
      </c>
      <c r="D11" s="48"/>
      <c r="E11" s="51">
        <f t="shared" si="0"/>
        <v>-50</v>
      </c>
      <c r="F11" s="33" t="s">
        <v>12</v>
      </c>
      <c r="G11" s="33" t="str">
        <f>_xlfn.XLOOKUP(Transactions[[#This Row],[Sub-category]], [1]!TblDV[Sub-category],[1]!TblDV[Category],"")</f>
        <v>Living Expenses</v>
      </c>
      <c r="H11" s="33" t="str">
        <f>_xlfn.XLOOKUP(Transactions[[#This Row],[Sub-category]], [1]!TblDV[Sub-category],[1]!TblDV[Category Type],"")</f>
        <v>Expense</v>
      </c>
      <c r="I11" s="34" t="s">
        <v>67</v>
      </c>
    </row>
    <row r="12" spans="1:9" x14ac:dyDescent="0.35">
      <c r="A12" t="s">
        <v>5</v>
      </c>
      <c r="B12" s="30">
        <v>44207</v>
      </c>
      <c r="C12" s="48">
        <v>5</v>
      </c>
      <c r="D12" s="48"/>
      <c r="E12" s="51">
        <f t="shared" si="0"/>
        <v>-5</v>
      </c>
      <c r="F12" s="33" t="s">
        <v>63</v>
      </c>
      <c r="G12" s="33" t="str">
        <f>_xlfn.XLOOKUP(Transactions[[#This Row],[Sub-category]], [1]!TblDV[Sub-category],[1]!TblDV[Category],"")</f>
        <v>Dining Out</v>
      </c>
      <c r="H12" s="33" t="str">
        <f>_xlfn.XLOOKUP(Transactions[[#This Row],[Sub-category]], [1]!TblDV[Sub-category],[1]!TblDV[Category Type],"")</f>
        <v>Expense</v>
      </c>
      <c r="I12" s="34" t="s">
        <v>62</v>
      </c>
    </row>
    <row r="13" spans="1:9" x14ac:dyDescent="0.35">
      <c r="A13" t="s">
        <v>5</v>
      </c>
      <c r="B13" s="30">
        <v>44208</v>
      </c>
      <c r="C13" s="48">
        <v>5</v>
      </c>
      <c r="D13" s="48"/>
      <c r="E13" s="51">
        <f t="shared" si="0"/>
        <v>-5</v>
      </c>
      <c r="F13" s="33" t="s">
        <v>63</v>
      </c>
      <c r="G13" s="33" t="str">
        <f>_xlfn.XLOOKUP(Transactions[[#This Row],[Sub-category]], [1]!TblDV[Sub-category],[1]!TblDV[Category],"")</f>
        <v>Dining Out</v>
      </c>
      <c r="H13" s="33" t="str">
        <f>_xlfn.XLOOKUP(Transactions[[#This Row],[Sub-category]], [1]!TblDV[Sub-category],[1]!TblDV[Category Type],"")</f>
        <v>Expense</v>
      </c>
      <c r="I13" s="34" t="s">
        <v>62</v>
      </c>
    </row>
    <row r="14" spans="1:9" x14ac:dyDescent="0.35">
      <c r="A14" t="s">
        <v>5</v>
      </c>
      <c r="B14" s="30">
        <v>44209</v>
      </c>
      <c r="C14" s="48">
        <v>77</v>
      </c>
      <c r="D14" s="48"/>
      <c r="E14" s="51">
        <f t="shared" si="0"/>
        <v>-77</v>
      </c>
      <c r="F14" s="33" t="s">
        <v>13</v>
      </c>
      <c r="G14" s="33" t="str">
        <f>_xlfn.XLOOKUP(Transactions[[#This Row],[Sub-category]], [1]!TblDV[Sub-category],[1]!TblDV[Category],"")</f>
        <v>Transport</v>
      </c>
      <c r="H14" s="33" t="str">
        <f>_xlfn.XLOOKUP(Transactions[[#This Row],[Sub-category]], [1]!TblDV[Sub-category],[1]!TblDV[Category Type],"")</f>
        <v>Expense</v>
      </c>
      <c r="I14" s="34" t="s">
        <v>68</v>
      </c>
    </row>
    <row r="15" spans="1:9" x14ac:dyDescent="0.35">
      <c r="A15" t="s">
        <v>5</v>
      </c>
      <c r="B15" s="30">
        <v>44209</v>
      </c>
      <c r="C15" s="48">
        <v>5</v>
      </c>
      <c r="D15" s="48"/>
      <c r="E15" s="51">
        <f t="shared" si="0"/>
        <v>-5</v>
      </c>
      <c r="F15" s="33" t="s">
        <v>63</v>
      </c>
      <c r="G15" s="33" t="str">
        <f>_xlfn.XLOOKUP(Transactions[[#This Row],[Sub-category]], [1]!TblDV[Sub-category],[1]!TblDV[Category],"")</f>
        <v>Dining Out</v>
      </c>
      <c r="H15" s="33" t="str">
        <f>_xlfn.XLOOKUP(Transactions[[#This Row],[Sub-category]], [1]!TblDV[Sub-category],[1]!TblDV[Category Type],"")</f>
        <v>Expense</v>
      </c>
      <c r="I15" s="34" t="s">
        <v>62</v>
      </c>
    </row>
    <row r="16" spans="1:9" x14ac:dyDescent="0.35">
      <c r="A16" t="s">
        <v>5</v>
      </c>
      <c r="B16" s="30">
        <v>44210</v>
      </c>
      <c r="C16" s="48">
        <v>5</v>
      </c>
      <c r="D16" s="48"/>
      <c r="E16" s="51">
        <f t="shared" si="0"/>
        <v>-5</v>
      </c>
      <c r="F16" s="33" t="s">
        <v>63</v>
      </c>
      <c r="G16" s="33" t="str">
        <f>_xlfn.XLOOKUP(Transactions[[#This Row],[Sub-category]], [1]!TblDV[Sub-category],[1]!TblDV[Category],"")</f>
        <v>Dining Out</v>
      </c>
      <c r="H16" s="33" t="str">
        <f>_xlfn.XLOOKUP(Transactions[[#This Row],[Sub-category]], [1]!TblDV[Sub-category],[1]!TblDV[Category Type],"")</f>
        <v>Expense</v>
      </c>
      <c r="I16" s="34" t="s">
        <v>62</v>
      </c>
    </row>
    <row r="17" spans="1:9" x14ac:dyDescent="0.35">
      <c r="A17" t="s">
        <v>5</v>
      </c>
      <c r="B17" s="30">
        <v>44211</v>
      </c>
      <c r="C17" s="48">
        <v>135</v>
      </c>
      <c r="D17" s="48"/>
      <c r="E17" s="51">
        <f t="shared" si="0"/>
        <v>-135</v>
      </c>
      <c r="F17" s="33" t="s">
        <v>14</v>
      </c>
      <c r="G17" s="33" t="str">
        <f>_xlfn.XLOOKUP(Transactions[[#This Row],[Sub-category]], [1]!TblDV[Sub-category],[1]!TblDV[Category],"")</f>
        <v>Living Expenses</v>
      </c>
      <c r="H17" s="33" t="str">
        <f>_xlfn.XLOOKUP(Transactions[[#This Row],[Sub-category]], [1]!TblDV[Sub-category],[1]!TblDV[Category Type],"")</f>
        <v>Expense</v>
      </c>
      <c r="I17" s="34" t="s">
        <v>66</v>
      </c>
    </row>
    <row r="18" spans="1:9" x14ac:dyDescent="0.35">
      <c r="A18" t="s">
        <v>5</v>
      </c>
      <c r="B18" s="30">
        <v>44211</v>
      </c>
      <c r="C18" s="48">
        <v>5</v>
      </c>
      <c r="D18" s="48"/>
      <c r="E18" s="51">
        <f t="shared" si="0"/>
        <v>-5</v>
      </c>
      <c r="F18" s="33" t="s">
        <v>63</v>
      </c>
      <c r="G18" s="33" t="str">
        <f>_xlfn.XLOOKUP(Transactions[[#This Row],[Sub-category]], [1]!TblDV[Sub-category],[1]!TblDV[Category],"")</f>
        <v>Dining Out</v>
      </c>
      <c r="H18" s="33" t="str">
        <f>_xlfn.XLOOKUP(Transactions[[#This Row],[Sub-category]], [1]!TblDV[Sub-category],[1]!TblDV[Category Type],"")</f>
        <v>Expense</v>
      </c>
      <c r="I18" s="34" t="s">
        <v>62</v>
      </c>
    </row>
    <row r="19" spans="1:9" x14ac:dyDescent="0.35">
      <c r="A19" t="s">
        <v>5</v>
      </c>
      <c r="B19" s="30">
        <v>44212</v>
      </c>
      <c r="C19" s="48">
        <v>5</v>
      </c>
      <c r="D19" s="48"/>
      <c r="E19" s="51">
        <f t="shared" si="0"/>
        <v>-5</v>
      </c>
      <c r="F19" s="33" t="s">
        <v>63</v>
      </c>
      <c r="G19" s="33" t="str">
        <f>_xlfn.XLOOKUP(Transactions[[#This Row],[Sub-category]], [1]!TblDV[Sub-category],[1]!TblDV[Category],"")</f>
        <v>Dining Out</v>
      </c>
      <c r="H19" s="33" t="str">
        <f>_xlfn.XLOOKUP(Transactions[[#This Row],[Sub-category]], [1]!TblDV[Sub-category],[1]!TblDV[Category Type],"")</f>
        <v>Expense</v>
      </c>
      <c r="I19" s="34" t="s">
        <v>62</v>
      </c>
    </row>
    <row r="20" spans="1:9" x14ac:dyDescent="0.35">
      <c r="A20" t="s">
        <v>5</v>
      </c>
      <c r="B20" s="30">
        <v>44212</v>
      </c>
      <c r="C20" s="48">
        <v>40</v>
      </c>
      <c r="D20" s="48"/>
      <c r="E20" s="51">
        <f t="shared" si="0"/>
        <v>-40</v>
      </c>
      <c r="F20" s="33" t="s">
        <v>15</v>
      </c>
      <c r="G20" s="33" t="str">
        <f>_xlfn.XLOOKUP(Transactions[[#This Row],[Sub-category]], [1]!TblDV[Sub-category],[1]!TblDV[Category],"")</f>
        <v>Discretionary</v>
      </c>
      <c r="H20" s="33" t="str">
        <f>_xlfn.XLOOKUP(Transactions[[#This Row],[Sub-category]], [1]!TblDV[Sub-category],[1]!TblDV[Category Type],"")</f>
        <v>Expense</v>
      </c>
      <c r="I20" s="34" t="s">
        <v>69</v>
      </c>
    </row>
    <row r="21" spans="1:9" x14ac:dyDescent="0.35">
      <c r="A21" t="s">
        <v>5</v>
      </c>
      <c r="B21" s="30">
        <v>44212</v>
      </c>
      <c r="C21" s="48">
        <v>98</v>
      </c>
      <c r="D21" s="48"/>
      <c r="E21" s="51">
        <f t="shared" si="0"/>
        <v>-98</v>
      </c>
      <c r="F21" s="33" t="s">
        <v>16</v>
      </c>
      <c r="G21" s="33" t="str">
        <f>_xlfn.XLOOKUP(Transactions[[#This Row],[Sub-category]], [1]!TblDV[Sub-category],[1]!TblDV[Category],"")</f>
        <v>Discretionary</v>
      </c>
      <c r="H21" s="33" t="str">
        <f>_xlfn.XLOOKUP(Transactions[[#This Row],[Sub-category]], [1]!TblDV[Sub-category],[1]!TblDV[Category Type],"")</f>
        <v>Expense</v>
      </c>
      <c r="I21" s="34" t="s">
        <v>70</v>
      </c>
    </row>
    <row r="22" spans="1:9" x14ac:dyDescent="0.35">
      <c r="A22" t="s">
        <v>5</v>
      </c>
      <c r="B22" s="30">
        <v>44212</v>
      </c>
      <c r="C22" s="48">
        <v>52</v>
      </c>
      <c r="D22" s="48"/>
      <c r="E22" s="51">
        <f t="shared" si="0"/>
        <v>-52</v>
      </c>
      <c r="F22" s="33" t="s">
        <v>72</v>
      </c>
      <c r="G22" s="33" t="str">
        <f>_xlfn.XLOOKUP(Transactions[[#This Row],[Sub-category]], [1]!TblDV[Sub-category],[1]!TblDV[Category],"")</f>
        <v>Dining Out</v>
      </c>
      <c r="H22" s="33" t="str">
        <f>_xlfn.XLOOKUP(Transactions[[#This Row],[Sub-category]], [1]!TblDV[Sub-category],[1]!TblDV[Category Type],"")</f>
        <v>Expense</v>
      </c>
      <c r="I22" s="34" t="s">
        <v>71</v>
      </c>
    </row>
    <row r="23" spans="1:9" x14ac:dyDescent="0.35">
      <c r="A23" t="s">
        <v>5</v>
      </c>
      <c r="B23" s="30">
        <v>44213</v>
      </c>
      <c r="C23" s="48">
        <v>28</v>
      </c>
      <c r="D23" s="48"/>
      <c r="E23" s="51">
        <f t="shared" si="0"/>
        <v>-28</v>
      </c>
      <c r="F23" s="33" t="s">
        <v>27</v>
      </c>
      <c r="G23" s="33" t="str">
        <f>_xlfn.XLOOKUP(Transactions[[#This Row],[Sub-category]], [1]!TblDV[Sub-category],[1]!TblDV[Category],"")</f>
        <v>Transport</v>
      </c>
      <c r="H23" s="33" t="str">
        <f>_xlfn.XLOOKUP(Transactions[[#This Row],[Sub-category]], [1]!TblDV[Sub-category],[1]!TblDV[Category Type],"")</f>
        <v>Expense</v>
      </c>
      <c r="I23" s="34" t="s">
        <v>73</v>
      </c>
    </row>
    <row r="24" spans="1:9" x14ac:dyDescent="0.35">
      <c r="A24" t="s">
        <v>9</v>
      </c>
      <c r="B24" s="30">
        <v>44214</v>
      </c>
      <c r="C24" s="48">
        <v>30</v>
      </c>
      <c r="D24" s="48"/>
      <c r="E24" s="51">
        <f t="shared" si="0"/>
        <v>-30</v>
      </c>
      <c r="F24" s="33" t="s">
        <v>17</v>
      </c>
      <c r="G24" s="33" t="str">
        <f>_xlfn.XLOOKUP(Transactions[[#This Row],[Sub-category]], [1]!TblDV[Sub-category],[1]!TblDV[Category],"")</f>
        <v>Discretionary</v>
      </c>
      <c r="H24" s="33" t="str">
        <f>_xlfn.XLOOKUP(Transactions[[#This Row],[Sub-category]], [1]!TblDV[Sub-category],[1]!TblDV[Category Type],"")</f>
        <v>Expense</v>
      </c>
      <c r="I24" s="34" t="s">
        <v>74</v>
      </c>
    </row>
    <row r="25" spans="1:9" x14ac:dyDescent="0.35">
      <c r="A25" t="s">
        <v>5</v>
      </c>
      <c r="B25" s="30">
        <v>44214</v>
      </c>
      <c r="C25" s="48">
        <v>5</v>
      </c>
      <c r="D25" s="48"/>
      <c r="E25" s="51">
        <f t="shared" si="0"/>
        <v>-5</v>
      </c>
      <c r="F25" s="33" t="s">
        <v>63</v>
      </c>
      <c r="G25" s="33" t="str">
        <f>_xlfn.XLOOKUP(Transactions[[#This Row],[Sub-category]], [1]!TblDV[Sub-category],[1]!TblDV[Category],"")</f>
        <v>Dining Out</v>
      </c>
      <c r="H25" s="33" t="str">
        <f>_xlfn.XLOOKUP(Transactions[[#This Row],[Sub-category]], [1]!TblDV[Sub-category],[1]!TblDV[Category Type],"")</f>
        <v>Expense</v>
      </c>
      <c r="I25" s="34" t="s">
        <v>62</v>
      </c>
    </row>
    <row r="26" spans="1:9" x14ac:dyDescent="0.35">
      <c r="A26" t="s">
        <v>5</v>
      </c>
      <c r="B26" s="30">
        <v>44215</v>
      </c>
      <c r="C26" s="48">
        <v>5</v>
      </c>
      <c r="D26" s="48"/>
      <c r="E26" s="51">
        <f t="shared" si="0"/>
        <v>-5</v>
      </c>
      <c r="F26" s="33" t="s">
        <v>63</v>
      </c>
      <c r="G26" s="33" t="str">
        <f>_xlfn.XLOOKUP(Transactions[[#This Row],[Sub-category]], [1]!TblDV[Sub-category],[1]!TblDV[Category],"")</f>
        <v>Dining Out</v>
      </c>
      <c r="H26" s="33" t="str">
        <f>_xlfn.XLOOKUP(Transactions[[#This Row],[Sub-category]], [1]!TblDV[Sub-category],[1]!TblDV[Category Type],"")</f>
        <v>Expense</v>
      </c>
      <c r="I26" s="34" t="s">
        <v>62</v>
      </c>
    </row>
    <row r="27" spans="1:9" x14ac:dyDescent="0.35">
      <c r="A27" t="s">
        <v>9</v>
      </c>
      <c r="B27" s="30">
        <v>44215</v>
      </c>
      <c r="C27" s="48">
        <v>154</v>
      </c>
      <c r="D27" s="48"/>
      <c r="E27" s="51">
        <f t="shared" si="0"/>
        <v>-154</v>
      </c>
      <c r="F27" s="33" t="s">
        <v>19</v>
      </c>
      <c r="G27" s="33" t="str">
        <f>_xlfn.XLOOKUP(Transactions[[#This Row],[Sub-category]], [1]!TblDV[Sub-category],[1]!TblDV[Category],"")</f>
        <v>Medical</v>
      </c>
      <c r="H27" s="33" t="str">
        <f>_xlfn.XLOOKUP(Transactions[[#This Row],[Sub-category]], [1]!TblDV[Sub-category],[1]!TblDV[Category Type],"")</f>
        <v>Expense</v>
      </c>
      <c r="I27" s="34" t="s">
        <v>75</v>
      </c>
    </row>
    <row r="28" spans="1:9" x14ac:dyDescent="0.35">
      <c r="A28" t="s">
        <v>9</v>
      </c>
      <c r="B28" s="30">
        <v>44215</v>
      </c>
      <c r="C28" s="48">
        <v>40</v>
      </c>
      <c r="D28" s="48"/>
      <c r="E28" s="51">
        <f t="shared" si="0"/>
        <v>-40</v>
      </c>
      <c r="F28" s="33" t="s">
        <v>30</v>
      </c>
      <c r="G28" s="33" t="str">
        <f>_xlfn.XLOOKUP(Transactions[[#This Row],[Sub-category]], [1]!TblDV[Sub-category],[1]!TblDV[Category],"")</f>
        <v>Living Expenses</v>
      </c>
      <c r="H28" s="33" t="str">
        <f>_xlfn.XLOOKUP(Transactions[[#This Row],[Sub-category]], [1]!TblDV[Sub-category],[1]!TblDV[Category Type],"")</f>
        <v>Expense</v>
      </c>
      <c r="I28" s="34" t="s">
        <v>76</v>
      </c>
    </row>
    <row r="29" spans="1:9" x14ac:dyDescent="0.35">
      <c r="A29" t="s">
        <v>5</v>
      </c>
      <c r="B29" s="30">
        <v>44216</v>
      </c>
      <c r="C29" s="48">
        <v>45</v>
      </c>
      <c r="D29" s="48"/>
      <c r="E29" s="51">
        <f t="shared" si="0"/>
        <v>-45</v>
      </c>
      <c r="F29" s="33" t="s">
        <v>22</v>
      </c>
      <c r="G29" s="33" t="str">
        <f>_xlfn.XLOOKUP(Transactions[[#This Row],[Sub-category]], [1]!TblDV[Sub-category],[1]!TblDV[Category],"")</f>
        <v>Discretionary</v>
      </c>
      <c r="H29" s="33" t="str">
        <f>_xlfn.XLOOKUP(Transactions[[#This Row],[Sub-category]], [1]!TblDV[Sub-category],[1]!TblDV[Category Type],"")</f>
        <v>Expense</v>
      </c>
      <c r="I29" s="34" t="s">
        <v>77</v>
      </c>
    </row>
    <row r="30" spans="1:9" x14ac:dyDescent="0.35">
      <c r="A30" t="s">
        <v>5</v>
      </c>
      <c r="B30" s="30">
        <v>44216</v>
      </c>
      <c r="C30" s="48">
        <v>32</v>
      </c>
      <c r="D30" s="48"/>
      <c r="E30" s="51">
        <f t="shared" si="0"/>
        <v>-32</v>
      </c>
      <c r="F30" s="33" t="s">
        <v>15</v>
      </c>
      <c r="G30" s="33" t="str">
        <f>_xlfn.XLOOKUP(Transactions[[#This Row],[Sub-category]], [1]!TblDV[Sub-category],[1]!TblDV[Category],"")</f>
        <v>Discretionary</v>
      </c>
      <c r="H30" s="33" t="str">
        <f>_xlfn.XLOOKUP(Transactions[[#This Row],[Sub-category]], [1]!TblDV[Sub-category],[1]!TblDV[Category Type],"")</f>
        <v>Expense</v>
      </c>
      <c r="I30" s="34" t="s">
        <v>78</v>
      </c>
    </row>
    <row r="31" spans="1:9" x14ac:dyDescent="0.35">
      <c r="A31" t="s">
        <v>5</v>
      </c>
      <c r="B31" s="30">
        <v>44216</v>
      </c>
      <c r="C31" s="48">
        <v>5</v>
      </c>
      <c r="D31" s="48"/>
      <c r="E31" s="51">
        <f t="shared" si="0"/>
        <v>-5</v>
      </c>
      <c r="F31" s="33" t="s">
        <v>63</v>
      </c>
      <c r="G31" s="33" t="str">
        <f>_xlfn.XLOOKUP(Transactions[[#This Row],[Sub-category]], [1]!TblDV[Sub-category],[1]!TblDV[Category],"")</f>
        <v>Dining Out</v>
      </c>
      <c r="H31" s="33" t="str">
        <f>_xlfn.XLOOKUP(Transactions[[#This Row],[Sub-category]], [1]!TblDV[Sub-category],[1]!TblDV[Category Type],"")</f>
        <v>Expense</v>
      </c>
      <c r="I31" s="34" t="s">
        <v>62</v>
      </c>
    </row>
    <row r="32" spans="1:9" x14ac:dyDescent="0.35">
      <c r="A32" t="s">
        <v>5</v>
      </c>
      <c r="B32" s="30">
        <v>44217</v>
      </c>
      <c r="C32" s="48">
        <v>5</v>
      </c>
      <c r="D32" s="48"/>
      <c r="E32" s="51">
        <f t="shared" si="0"/>
        <v>-5</v>
      </c>
      <c r="F32" s="33" t="s">
        <v>63</v>
      </c>
      <c r="G32" s="33" t="str">
        <f>_xlfn.XLOOKUP(Transactions[[#This Row],[Sub-category]], [1]!TblDV[Sub-category],[1]!TblDV[Category],"")</f>
        <v>Dining Out</v>
      </c>
      <c r="H32" s="33" t="str">
        <f>_xlfn.XLOOKUP(Transactions[[#This Row],[Sub-category]], [1]!TblDV[Sub-category],[1]!TblDV[Category Type],"")</f>
        <v>Expense</v>
      </c>
      <c r="I32" s="34" t="s">
        <v>62</v>
      </c>
    </row>
    <row r="33" spans="1:9" x14ac:dyDescent="0.35">
      <c r="A33" t="s">
        <v>5</v>
      </c>
      <c r="B33" s="30">
        <v>44218</v>
      </c>
      <c r="C33" s="48">
        <v>5</v>
      </c>
      <c r="D33" s="48"/>
      <c r="E33" s="51">
        <f t="shared" si="0"/>
        <v>-5</v>
      </c>
      <c r="F33" s="33" t="s">
        <v>63</v>
      </c>
      <c r="G33" s="33" t="str">
        <f>_xlfn.XLOOKUP(Transactions[[#This Row],[Sub-category]], [1]!TblDV[Sub-category],[1]!TblDV[Category],"")</f>
        <v>Dining Out</v>
      </c>
      <c r="H33" s="33" t="str">
        <f>_xlfn.XLOOKUP(Transactions[[#This Row],[Sub-category]], [1]!TblDV[Sub-category],[1]!TblDV[Category Type],"")</f>
        <v>Expense</v>
      </c>
      <c r="I33" s="34" t="s">
        <v>62</v>
      </c>
    </row>
    <row r="34" spans="1:9" x14ac:dyDescent="0.35">
      <c r="A34" t="s">
        <v>5</v>
      </c>
      <c r="B34" s="30">
        <v>44218</v>
      </c>
      <c r="C34" s="48">
        <v>170</v>
      </c>
      <c r="D34" s="48"/>
      <c r="E34" s="51">
        <f t="shared" si="0"/>
        <v>-170</v>
      </c>
      <c r="F34" s="33" t="s">
        <v>14</v>
      </c>
      <c r="G34" s="33" t="str">
        <f>_xlfn.XLOOKUP(Transactions[[#This Row],[Sub-category]], [1]!TblDV[Sub-category],[1]!TblDV[Category],"")</f>
        <v>Living Expenses</v>
      </c>
      <c r="H34" s="33" t="str">
        <f>_xlfn.XLOOKUP(Transactions[[#This Row],[Sub-category]], [1]!TblDV[Sub-category],[1]!TblDV[Category Type],"")</f>
        <v>Expense</v>
      </c>
      <c r="I34" s="34" t="s">
        <v>66</v>
      </c>
    </row>
    <row r="35" spans="1:9" x14ac:dyDescent="0.35">
      <c r="A35" t="s">
        <v>5</v>
      </c>
      <c r="B35" s="30">
        <v>44219</v>
      </c>
      <c r="C35" s="48">
        <v>37</v>
      </c>
      <c r="D35" s="48"/>
      <c r="E35" s="51">
        <f t="shared" si="0"/>
        <v>-37</v>
      </c>
      <c r="F35" s="33" t="s">
        <v>72</v>
      </c>
      <c r="G35" s="33" t="str">
        <f>_xlfn.XLOOKUP(Transactions[[#This Row],[Sub-category]], [1]!TblDV[Sub-category],[1]!TblDV[Category],"")</f>
        <v>Dining Out</v>
      </c>
      <c r="H35" s="33" t="str">
        <f>_xlfn.XLOOKUP(Transactions[[#This Row],[Sub-category]], [1]!TblDV[Sub-category],[1]!TblDV[Category Type],"")</f>
        <v>Expense</v>
      </c>
      <c r="I35" s="34" t="s">
        <v>79</v>
      </c>
    </row>
    <row r="36" spans="1:9" x14ac:dyDescent="0.35">
      <c r="A36" t="s">
        <v>5</v>
      </c>
      <c r="B36" s="30">
        <v>44220</v>
      </c>
      <c r="C36" s="48">
        <v>12</v>
      </c>
      <c r="D36" s="48"/>
      <c r="E36" s="51">
        <f t="shared" si="0"/>
        <v>-12</v>
      </c>
      <c r="F36" s="33" t="s">
        <v>72</v>
      </c>
      <c r="G36" s="33" t="str">
        <f>_xlfn.XLOOKUP(Transactions[[#This Row],[Sub-category]], [1]!TblDV[Sub-category],[1]!TblDV[Category],"")</f>
        <v>Dining Out</v>
      </c>
      <c r="H36" s="33" t="str">
        <f>_xlfn.XLOOKUP(Transactions[[#This Row],[Sub-category]], [1]!TblDV[Sub-category],[1]!TblDV[Category Type],"")</f>
        <v>Expense</v>
      </c>
      <c r="I36" s="34" t="s">
        <v>80</v>
      </c>
    </row>
    <row r="37" spans="1:9" x14ac:dyDescent="0.35">
      <c r="A37" t="s">
        <v>9</v>
      </c>
      <c r="B37" s="30">
        <v>44221</v>
      </c>
      <c r="C37" s="48">
        <v>55</v>
      </c>
      <c r="D37" s="48"/>
      <c r="E37" s="51">
        <f t="shared" si="0"/>
        <v>-55</v>
      </c>
      <c r="F37" s="33" t="s">
        <v>23</v>
      </c>
      <c r="G37" s="33" t="str">
        <f>_xlfn.XLOOKUP(Transactions[[#This Row],[Sub-category]], [1]!TblDV[Sub-category],[1]!TblDV[Category],"")</f>
        <v>Charity</v>
      </c>
      <c r="H37" s="33" t="str">
        <f>_xlfn.XLOOKUP(Transactions[[#This Row],[Sub-category]], [1]!TblDV[Sub-category],[1]!TblDV[Category Type],"")</f>
        <v>Expense</v>
      </c>
      <c r="I37" s="34" t="s">
        <v>81</v>
      </c>
    </row>
    <row r="38" spans="1:9" x14ac:dyDescent="0.35">
      <c r="A38" t="s">
        <v>5</v>
      </c>
      <c r="B38" s="30">
        <v>44221</v>
      </c>
      <c r="C38" s="48">
        <v>63</v>
      </c>
      <c r="D38" s="48"/>
      <c r="E38" s="51">
        <f t="shared" si="0"/>
        <v>-63</v>
      </c>
      <c r="F38" s="33" t="s">
        <v>13</v>
      </c>
      <c r="G38" s="33" t="str">
        <f>_xlfn.XLOOKUP(Transactions[[#This Row],[Sub-category]], [1]!TblDV[Sub-category],[1]!TblDV[Category],"")</f>
        <v>Transport</v>
      </c>
      <c r="H38" s="33" t="str">
        <f>_xlfn.XLOOKUP(Transactions[[#This Row],[Sub-category]], [1]!TblDV[Sub-category],[1]!TblDV[Category Type],"")</f>
        <v>Expense</v>
      </c>
      <c r="I38" s="34" t="s">
        <v>68</v>
      </c>
    </row>
    <row r="39" spans="1:9" x14ac:dyDescent="0.35">
      <c r="A39" t="s">
        <v>5</v>
      </c>
      <c r="B39" s="30">
        <v>44221</v>
      </c>
      <c r="C39" s="48">
        <v>5</v>
      </c>
      <c r="D39" s="48"/>
      <c r="E39" s="51">
        <f t="shared" si="0"/>
        <v>-5</v>
      </c>
      <c r="F39" s="33" t="s">
        <v>63</v>
      </c>
      <c r="G39" s="33" t="str">
        <f>_xlfn.XLOOKUP(Transactions[[#This Row],[Sub-category]], [1]!TblDV[Sub-category],[1]!TblDV[Category],"")</f>
        <v>Dining Out</v>
      </c>
      <c r="H39" s="33" t="str">
        <f>_xlfn.XLOOKUP(Transactions[[#This Row],[Sub-category]], [1]!TblDV[Sub-category],[1]!TblDV[Category Type],"")</f>
        <v>Expense</v>
      </c>
      <c r="I39" s="34" t="s">
        <v>62</v>
      </c>
    </row>
    <row r="40" spans="1:9" x14ac:dyDescent="0.35">
      <c r="A40" t="s">
        <v>5</v>
      </c>
      <c r="B40" s="30">
        <v>44222</v>
      </c>
      <c r="C40" s="48">
        <v>5</v>
      </c>
      <c r="D40" s="48"/>
      <c r="E40" s="51">
        <f t="shared" si="0"/>
        <v>-5</v>
      </c>
      <c r="F40" s="33" t="s">
        <v>63</v>
      </c>
      <c r="G40" s="33" t="str">
        <f>_xlfn.XLOOKUP(Transactions[[#This Row],[Sub-category]], [1]!TblDV[Sub-category],[1]!TblDV[Category],"")</f>
        <v>Dining Out</v>
      </c>
      <c r="H40" s="33" t="str">
        <f>_xlfn.XLOOKUP(Transactions[[#This Row],[Sub-category]], [1]!TblDV[Sub-category],[1]!TblDV[Category Type],"")</f>
        <v>Expense</v>
      </c>
      <c r="I40" s="34" t="s">
        <v>62</v>
      </c>
    </row>
    <row r="41" spans="1:9" x14ac:dyDescent="0.35">
      <c r="A41" t="s">
        <v>5</v>
      </c>
      <c r="B41" s="30">
        <v>44223</v>
      </c>
      <c r="C41" s="48">
        <v>5</v>
      </c>
      <c r="D41" s="48"/>
      <c r="E41" s="51">
        <f t="shared" si="0"/>
        <v>-5</v>
      </c>
      <c r="F41" s="33" t="s">
        <v>63</v>
      </c>
      <c r="G41" s="33" t="str">
        <f>_xlfn.XLOOKUP(Transactions[[#This Row],[Sub-category]], [1]!TblDV[Sub-category],[1]!TblDV[Category],"")</f>
        <v>Dining Out</v>
      </c>
      <c r="H41" s="33" t="str">
        <f>_xlfn.XLOOKUP(Transactions[[#This Row],[Sub-category]], [1]!TblDV[Sub-category],[1]!TblDV[Category Type],"")</f>
        <v>Expense</v>
      </c>
      <c r="I41" s="34" t="s">
        <v>62</v>
      </c>
    </row>
    <row r="42" spans="1:9" x14ac:dyDescent="0.35">
      <c r="A42" t="s">
        <v>5</v>
      </c>
      <c r="B42" s="30">
        <v>44224</v>
      </c>
      <c r="C42" s="48">
        <v>5</v>
      </c>
      <c r="D42" s="48"/>
      <c r="E42" s="51">
        <f t="shared" si="0"/>
        <v>-5</v>
      </c>
      <c r="F42" s="33" t="s">
        <v>63</v>
      </c>
      <c r="G42" s="33" t="str">
        <f>_xlfn.XLOOKUP(Transactions[[#This Row],[Sub-category]], [1]!TblDV[Sub-category],[1]!TblDV[Category],"")</f>
        <v>Dining Out</v>
      </c>
      <c r="H42" s="33" t="str">
        <f>_xlfn.XLOOKUP(Transactions[[#This Row],[Sub-category]], [1]!TblDV[Sub-category],[1]!TblDV[Category Type],"")</f>
        <v>Expense</v>
      </c>
      <c r="I42" s="34" t="s">
        <v>62</v>
      </c>
    </row>
    <row r="43" spans="1:9" x14ac:dyDescent="0.35">
      <c r="A43" t="s">
        <v>5</v>
      </c>
      <c r="B43" s="30">
        <v>44225</v>
      </c>
      <c r="C43" s="48">
        <v>5</v>
      </c>
      <c r="D43" s="48"/>
      <c r="E43" s="51">
        <f t="shared" si="0"/>
        <v>-5</v>
      </c>
      <c r="F43" s="33" t="s">
        <v>63</v>
      </c>
      <c r="G43" s="33" t="str">
        <f>_xlfn.XLOOKUP(Transactions[[#This Row],[Sub-category]], [1]!TblDV[Sub-category],[1]!TblDV[Category],"")</f>
        <v>Dining Out</v>
      </c>
      <c r="H43" s="33" t="str">
        <f>_xlfn.XLOOKUP(Transactions[[#This Row],[Sub-category]], [1]!TblDV[Sub-category],[1]!TblDV[Category Type],"")</f>
        <v>Expense</v>
      </c>
      <c r="I43" s="34" t="s">
        <v>62</v>
      </c>
    </row>
    <row r="44" spans="1:9" x14ac:dyDescent="0.35">
      <c r="A44" t="s">
        <v>5</v>
      </c>
      <c r="B44" s="30">
        <v>44225</v>
      </c>
      <c r="C44" s="48">
        <v>162</v>
      </c>
      <c r="D44" s="48"/>
      <c r="E44" s="51">
        <f t="shared" si="0"/>
        <v>-162</v>
      </c>
      <c r="F44" s="33" t="s">
        <v>14</v>
      </c>
      <c r="G44" s="33" t="str">
        <f>_xlfn.XLOOKUP(Transactions[[#This Row],[Sub-category]], [1]!TblDV[Sub-category],[1]!TblDV[Category],"")</f>
        <v>Living Expenses</v>
      </c>
      <c r="H44" s="33" t="str">
        <f>_xlfn.XLOOKUP(Transactions[[#This Row],[Sub-category]], [1]!TblDV[Sub-category],[1]!TblDV[Category Type],"")</f>
        <v>Expense</v>
      </c>
      <c r="I44" s="34" t="s">
        <v>66</v>
      </c>
    </row>
    <row r="45" spans="1:9" x14ac:dyDescent="0.35">
      <c r="A45" t="s">
        <v>5</v>
      </c>
      <c r="B45" s="30">
        <v>44226</v>
      </c>
      <c r="C45" s="48">
        <v>125</v>
      </c>
      <c r="D45" s="48"/>
      <c r="E45" s="51">
        <f t="shared" si="0"/>
        <v>-125</v>
      </c>
      <c r="F45" s="33" t="s">
        <v>16</v>
      </c>
      <c r="G45" s="33" t="str">
        <f>_xlfn.XLOOKUP(Transactions[[#This Row],[Sub-category]], [1]!TblDV[Sub-category],[1]!TblDV[Category],"")</f>
        <v>Discretionary</v>
      </c>
      <c r="H45" s="33" t="str">
        <f>_xlfn.XLOOKUP(Transactions[[#This Row],[Sub-category]], [1]!TblDV[Sub-category],[1]!TblDV[Category Type],"")</f>
        <v>Expense</v>
      </c>
      <c r="I45" s="34" t="s">
        <v>82</v>
      </c>
    </row>
    <row r="46" spans="1:9" x14ac:dyDescent="0.35">
      <c r="A46" t="s">
        <v>5</v>
      </c>
      <c r="B46" s="30">
        <v>44226</v>
      </c>
      <c r="C46" s="48">
        <v>175</v>
      </c>
      <c r="D46" s="48"/>
      <c r="E46" s="51">
        <f t="shared" si="0"/>
        <v>-175</v>
      </c>
      <c r="F46" s="33" t="s">
        <v>15</v>
      </c>
      <c r="G46" s="33" t="str">
        <f>_xlfn.XLOOKUP(Transactions[[#This Row],[Sub-category]], [1]!TblDV[Sub-category],[1]!TblDV[Category],"")</f>
        <v>Discretionary</v>
      </c>
      <c r="H46" s="33" t="str">
        <f>_xlfn.XLOOKUP(Transactions[[#This Row],[Sub-category]], [1]!TblDV[Sub-category],[1]!TblDV[Category Type],"")</f>
        <v>Expense</v>
      </c>
      <c r="I46" s="34" t="s">
        <v>83</v>
      </c>
    </row>
    <row r="47" spans="1:9" x14ac:dyDescent="0.35">
      <c r="A47" t="s">
        <v>5</v>
      </c>
      <c r="B47" s="30">
        <v>44227</v>
      </c>
      <c r="C47" s="48">
        <v>145</v>
      </c>
      <c r="D47" s="48"/>
      <c r="E47" s="51">
        <f t="shared" si="0"/>
        <v>-145</v>
      </c>
      <c r="F47" s="33" t="s">
        <v>16</v>
      </c>
      <c r="G47" s="33" t="str">
        <f>_xlfn.XLOOKUP(Transactions[[#This Row],[Sub-category]], [1]!TblDV[Sub-category],[1]!TblDV[Category],"")</f>
        <v>Discretionary</v>
      </c>
      <c r="H47" s="33" t="str">
        <f>_xlfn.XLOOKUP(Transactions[[#This Row],[Sub-category]], [1]!TblDV[Sub-category],[1]!TblDV[Category Type],"")</f>
        <v>Expense</v>
      </c>
      <c r="I47" s="34" t="s">
        <v>70</v>
      </c>
    </row>
    <row r="48" spans="1:9" x14ac:dyDescent="0.35">
      <c r="A48" t="s">
        <v>5</v>
      </c>
      <c r="B48" s="30">
        <v>44227</v>
      </c>
      <c r="C48" s="48">
        <v>23</v>
      </c>
      <c r="D48" s="48"/>
      <c r="E48" s="51">
        <f t="shared" si="0"/>
        <v>-23</v>
      </c>
      <c r="F48" s="33" t="s">
        <v>27</v>
      </c>
      <c r="G48" s="33" t="str">
        <f>_xlfn.XLOOKUP(Transactions[[#This Row],[Sub-category]], [1]!TblDV[Sub-category],[1]!TblDV[Category],"")</f>
        <v>Transport</v>
      </c>
      <c r="H48" s="33" t="str">
        <f>_xlfn.XLOOKUP(Transactions[[#This Row],[Sub-category]], [1]!TblDV[Sub-category],[1]!TblDV[Category Type],"")</f>
        <v>Expense</v>
      </c>
      <c r="I48" s="34" t="s">
        <v>73</v>
      </c>
    </row>
    <row r="49" spans="1:9" x14ac:dyDescent="0.35">
      <c r="A49" t="s">
        <v>9</v>
      </c>
      <c r="B49" s="30">
        <v>44228</v>
      </c>
      <c r="C49" s="48"/>
      <c r="D49" s="48">
        <v>4000</v>
      </c>
      <c r="E49" s="51">
        <f t="shared" si="0"/>
        <v>4000</v>
      </c>
      <c r="F49" s="33" t="s">
        <v>7</v>
      </c>
      <c r="G49" s="33" t="str">
        <f>_xlfn.XLOOKUP(Transactions[[#This Row],[Sub-category]], [1]!TblDV[Sub-category],[1]!TblDV[Category],"")</f>
        <v>Salary</v>
      </c>
      <c r="H49" s="33" t="str">
        <f>_xlfn.XLOOKUP(Transactions[[#This Row],[Sub-category]], [1]!TblDV[Sub-category],[1]!TblDV[Category Type],"")</f>
        <v>Income</v>
      </c>
      <c r="I49" s="34" t="s">
        <v>61</v>
      </c>
    </row>
    <row r="50" spans="1:9" x14ac:dyDescent="0.35">
      <c r="A50" t="s">
        <v>5</v>
      </c>
      <c r="B50" s="30">
        <v>44228</v>
      </c>
      <c r="C50" s="48">
        <v>5</v>
      </c>
      <c r="D50" s="48"/>
      <c r="E50" s="51">
        <f t="shared" si="0"/>
        <v>-5</v>
      </c>
      <c r="F50" s="33" t="s">
        <v>63</v>
      </c>
      <c r="G50" s="33" t="str">
        <f>_xlfn.XLOOKUP(Transactions[[#This Row],[Sub-category]], [1]!TblDV[Sub-category],[1]!TblDV[Category],"")</f>
        <v>Dining Out</v>
      </c>
      <c r="H50" s="33" t="str">
        <f>_xlfn.XLOOKUP(Transactions[[#This Row],[Sub-category]], [1]!TblDV[Sub-category],[1]!TblDV[Category Type],"")</f>
        <v>Expense</v>
      </c>
      <c r="I50" s="34" t="s">
        <v>62</v>
      </c>
    </row>
    <row r="51" spans="1:9" x14ac:dyDescent="0.35">
      <c r="A51" t="s">
        <v>9</v>
      </c>
      <c r="B51" s="30">
        <v>44229</v>
      </c>
      <c r="C51" s="48">
        <v>900</v>
      </c>
      <c r="D51" s="48"/>
      <c r="E51" s="51">
        <f t="shared" si="0"/>
        <v>-900</v>
      </c>
      <c r="F51" s="33" t="s">
        <v>10</v>
      </c>
      <c r="G51" s="33" t="str">
        <f>_xlfn.XLOOKUP(Transactions[[#This Row],[Sub-category]], [1]!TblDV[Sub-category],[1]!TblDV[Category],"")</f>
        <v>Living Expenses</v>
      </c>
      <c r="H51" s="33" t="str">
        <f>_xlfn.XLOOKUP(Transactions[[#This Row],[Sub-category]], [1]!TblDV[Sub-category],[1]!TblDV[Category Type],"")</f>
        <v>Expense</v>
      </c>
      <c r="I51" s="34" t="s">
        <v>64</v>
      </c>
    </row>
    <row r="52" spans="1:9" x14ac:dyDescent="0.35">
      <c r="A52" t="s">
        <v>9</v>
      </c>
      <c r="B52" s="30">
        <v>44229</v>
      </c>
      <c r="C52" s="48">
        <v>150</v>
      </c>
      <c r="D52" s="48"/>
      <c r="E52" s="51">
        <f t="shared" si="0"/>
        <v>-150</v>
      </c>
      <c r="F52" s="33" t="s">
        <v>29</v>
      </c>
      <c r="G52" s="33" t="str">
        <f>_xlfn.XLOOKUP(Transactions[[#This Row],[Sub-category]], [1]!TblDV[Sub-category],[1]!TblDV[Category],"")</f>
        <v>Transport</v>
      </c>
      <c r="H52" s="33" t="str">
        <f>_xlfn.XLOOKUP(Transactions[[#This Row],[Sub-category]], [1]!TblDV[Sub-category],[1]!TblDV[Category Type],"")</f>
        <v>Expense</v>
      </c>
      <c r="I52" s="34" t="s">
        <v>65</v>
      </c>
    </row>
    <row r="53" spans="1:9" x14ac:dyDescent="0.35">
      <c r="A53" t="s">
        <v>5</v>
      </c>
      <c r="B53" s="30">
        <v>44229</v>
      </c>
      <c r="C53" s="48">
        <v>5</v>
      </c>
      <c r="D53" s="48"/>
      <c r="E53" s="51">
        <f t="shared" si="0"/>
        <v>-5</v>
      </c>
      <c r="F53" s="33" t="s">
        <v>63</v>
      </c>
      <c r="G53" s="33" t="str">
        <f>_xlfn.XLOOKUP(Transactions[[#This Row],[Sub-category]], [1]!TblDV[Sub-category],[1]!TblDV[Category],"")</f>
        <v>Dining Out</v>
      </c>
      <c r="H53" s="33" t="str">
        <f>_xlfn.XLOOKUP(Transactions[[#This Row],[Sub-category]], [1]!TblDV[Sub-category],[1]!TblDV[Category Type],"")</f>
        <v>Expense</v>
      </c>
      <c r="I53" s="34" t="s">
        <v>62</v>
      </c>
    </row>
    <row r="54" spans="1:9" x14ac:dyDescent="0.35">
      <c r="A54" t="s">
        <v>5</v>
      </c>
      <c r="B54" s="30">
        <v>44230</v>
      </c>
      <c r="C54" s="48">
        <v>5</v>
      </c>
      <c r="D54" s="48"/>
      <c r="E54" s="51">
        <f t="shared" si="0"/>
        <v>-5</v>
      </c>
      <c r="F54" s="33" t="s">
        <v>63</v>
      </c>
      <c r="G54" s="33" t="str">
        <f>_xlfn.XLOOKUP(Transactions[[#This Row],[Sub-category]], [1]!TblDV[Sub-category],[1]!TblDV[Category],"")</f>
        <v>Dining Out</v>
      </c>
      <c r="H54" s="33" t="str">
        <f>_xlfn.XLOOKUP(Transactions[[#This Row],[Sub-category]], [1]!TblDV[Sub-category],[1]!TblDV[Category Type],"")</f>
        <v>Expense</v>
      </c>
      <c r="I54" s="34" t="s">
        <v>62</v>
      </c>
    </row>
    <row r="55" spans="1:9" x14ac:dyDescent="0.35">
      <c r="A55" t="s">
        <v>5</v>
      </c>
      <c r="B55" s="30">
        <v>44231</v>
      </c>
      <c r="C55" s="48">
        <v>5</v>
      </c>
      <c r="D55" s="48"/>
      <c r="E55" s="51">
        <f t="shared" si="0"/>
        <v>-5</v>
      </c>
      <c r="F55" s="33" t="s">
        <v>63</v>
      </c>
      <c r="G55" s="33" t="str">
        <f>_xlfn.XLOOKUP(Transactions[[#This Row],[Sub-category]], [1]!TblDV[Sub-category],[1]!TblDV[Category],"")</f>
        <v>Dining Out</v>
      </c>
      <c r="H55" s="33" t="str">
        <f>_xlfn.XLOOKUP(Transactions[[#This Row],[Sub-category]], [1]!TblDV[Sub-category],[1]!TblDV[Category Type],"")</f>
        <v>Expense</v>
      </c>
      <c r="I55" s="34" t="s">
        <v>62</v>
      </c>
    </row>
    <row r="56" spans="1:9" x14ac:dyDescent="0.35">
      <c r="A56" t="s">
        <v>5</v>
      </c>
      <c r="B56" s="30">
        <v>44232</v>
      </c>
      <c r="C56" s="48">
        <v>5</v>
      </c>
      <c r="D56" s="48"/>
      <c r="E56" s="51">
        <f t="shared" si="0"/>
        <v>-5</v>
      </c>
      <c r="F56" s="33" t="s">
        <v>63</v>
      </c>
      <c r="G56" s="33" t="str">
        <f>_xlfn.XLOOKUP(Transactions[[#This Row],[Sub-category]], [1]!TblDV[Sub-category],[1]!TblDV[Category],"")</f>
        <v>Dining Out</v>
      </c>
      <c r="H56" s="33" t="str">
        <f>_xlfn.XLOOKUP(Transactions[[#This Row],[Sub-category]], [1]!TblDV[Sub-category],[1]!TblDV[Category Type],"")</f>
        <v>Expense</v>
      </c>
      <c r="I56" s="34" t="s">
        <v>62</v>
      </c>
    </row>
    <row r="57" spans="1:9" x14ac:dyDescent="0.35">
      <c r="A57" t="s">
        <v>5</v>
      </c>
      <c r="B57" s="30">
        <v>44232</v>
      </c>
      <c r="C57" s="48">
        <v>205</v>
      </c>
      <c r="D57" s="48"/>
      <c r="E57" s="51">
        <f t="shared" si="0"/>
        <v>-205</v>
      </c>
      <c r="F57" s="33" t="s">
        <v>14</v>
      </c>
      <c r="G57" s="33" t="str">
        <f>_xlfn.XLOOKUP(Transactions[[#This Row],[Sub-category]], [1]!TblDV[Sub-category],[1]!TblDV[Category],"")</f>
        <v>Living Expenses</v>
      </c>
      <c r="H57" s="33" t="str">
        <f>_xlfn.XLOOKUP(Transactions[[#This Row],[Sub-category]], [1]!TblDV[Sub-category],[1]!TblDV[Category Type],"")</f>
        <v>Expense</v>
      </c>
      <c r="I57" s="34" t="s">
        <v>66</v>
      </c>
    </row>
    <row r="58" spans="1:9" x14ac:dyDescent="0.35">
      <c r="A58" t="s">
        <v>9</v>
      </c>
      <c r="B58" s="30">
        <v>44235</v>
      </c>
      <c r="C58" s="48">
        <v>51.1</v>
      </c>
      <c r="D58" s="48"/>
      <c r="E58" s="51">
        <f t="shared" si="0"/>
        <v>-51.1</v>
      </c>
      <c r="F58" s="33" t="s">
        <v>12</v>
      </c>
      <c r="G58" s="33" t="str">
        <f>_xlfn.XLOOKUP(Transactions[[#This Row],[Sub-category]], [1]!TblDV[Sub-category],[1]!TblDV[Category],"")</f>
        <v>Living Expenses</v>
      </c>
      <c r="H58" s="33" t="str">
        <f>_xlfn.XLOOKUP(Transactions[[#This Row],[Sub-category]], [1]!TblDV[Sub-category],[1]!TblDV[Category Type],"")</f>
        <v>Expense</v>
      </c>
      <c r="I58" s="34" t="s">
        <v>67</v>
      </c>
    </row>
    <row r="59" spans="1:9" x14ac:dyDescent="0.35">
      <c r="A59" t="s">
        <v>5</v>
      </c>
      <c r="B59" s="30">
        <v>44235</v>
      </c>
      <c r="C59" s="48">
        <v>5</v>
      </c>
      <c r="D59" s="48"/>
      <c r="E59" s="51">
        <f t="shared" si="0"/>
        <v>-5</v>
      </c>
      <c r="F59" s="33" t="s">
        <v>63</v>
      </c>
      <c r="G59" s="33" t="str">
        <f>_xlfn.XLOOKUP(Transactions[[#This Row],[Sub-category]], [1]!TblDV[Sub-category],[1]!TblDV[Category],"")</f>
        <v>Dining Out</v>
      </c>
      <c r="H59" s="33" t="str">
        <f>_xlfn.XLOOKUP(Transactions[[#This Row],[Sub-category]], [1]!TblDV[Sub-category],[1]!TblDV[Category Type],"")</f>
        <v>Expense</v>
      </c>
      <c r="I59" s="34" t="s">
        <v>62</v>
      </c>
    </row>
    <row r="60" spans="1:9" x14ac:dyDescent="0.35">
      <c r="A60" t="s">
        <v>5</v>
      </c>
      <c r="B60" s="30">
        <v>44236</v>
      </c>
      <c r="C60" s="48">
        <v>5</v>
      </c>
      <c r="D60" s="48"/>
      <c r="E60" s="51">
        <f t="shared" si="0"/>
        <v>-5</v>
      </c>
      <c r="F60" s="33" t="s">
        <v>63</v>
      </c>
      <c r="G60" s="33" t="str">
        <f>_xlfn.XLOOKUP(Transactions[[#This Row],[Sub-category]], [1]!TblDV[Sub-category],[1]!TblDV[Category],"")</f>
        <v>Dining Out</v>
      </c>
      <c r="H60" s="33" t="str">
        <f>_xlfn.XLOOKUP(Transactions[[#This Row],[Sub-category]], [1]!TblDV[Sub-category],[1]!TblDV[Category Type],"")</f>
        <v>Expense</v>
      </c>
      <c r="I60" s="34" t="s">
        <v>62</v>
      </c>
    </row>
    <row r="61" spans="1:9" x14ac:dyDescent="0.35">
      <c r="A61" t="s">
        <v>5</v>
      </c>
      <c r="B61" s="30">
        <v>44237</v>
      </c>
      <c r="C61" s="48">
        <v>78</v>
      </c>
      <c r="D61" s="48"/>
      <c r="E61" s="51">
        <f t="shared" si="0"/>
        <v>-78</v>
      </c>
      <c r="F61" s="33" t="s">
        <v>13</v>
      </c>
      <c r="G61" s="33" t="str">
        <f>_xlfn.XLOOKUP(Transactions[[#This Row],[Sub-category]], [1]!TblDV[Sub-category],[1]!TblDV[Category],"")</f>
        <v>Transport</v>
      </c>
      <c r="H61" s="33" t="str">
        <f>_xlfn.XLOOKUP(Transactions[[#This Row],[Sub-category]], [1]!TblDV[Sub-category],[1]!TblDV[Category Type],"")</f>
        <v>Expense</v>
      </c>
      <c r="I61" s="34" t="s">
        <v>68</v>
      </c>
    </row>
    <row r="62" spans="1:9" x14ac:dyDescent="0.35">
      <c r="A62" t="s">
        <v>5</v>
      </c>
      <c r="B62" s="30">
        <v>44237</v>
      </c>
      <c r="C62" s="48">
        <v>5</v>
      </c>
      <c r="D62" s="48"/>
      <c r="E62" s="51">
        <f t="shared" si="0"/>
        <v>-5</v>
      </c>
      <c r="F62" s="33" t="s">
        <v>63</v>
      </c>
      <c r="G62" s="33" t="str">
        <f>_xlfn.XLOOKUP(Transactions[[#This Row],[Sub-category]], [1]!TblDV[Sub-category],[1]!TblDV[Category],"")</f>
        <v>Dining Out</v>
      </c>
      <c r="H62" s="33" t="str">
        <f>_xlfn.XLOOKUP(Transactions[[#This Row],[Sub-category]], [1]!TblDV[Sub-category],[1]!TblDV[Category Type],"")</f>
        <v>Expense</v>
      </c>
      <c r="I62" s="34" t="s">
        <v>62</v>
      </c>
    </row>
    <row r="63" spans="1:9" x14ac:dyDescent="0.35">
      <c r="A63" t="s">
        <v>5</v>
      </c>
      <c r="B63" s="30">
        <v>44238</v>
      </c>
      <c r="C63" s="48">
        <v>5</v>
      </c>
      <c r="D63" s="48"/>
      <c r="E63" s="51">
        <f t="shared" si="0"/>
        <v>-5</v>
      </c>
      <c r="F63" s="33" t="s">
        <v>63</v>
      </c>
      <c r="G63" s="33" t="str">
        <f>_xlfn.XLOOKUP(Transactions[[#This Row],[Sub-category]], [1]!TblDV[Sub-category],[1]!TblDV[Category],"")</f>
        <v>Dining Out</v>
      </c>
      <c r="H63" s="33" t="str">
        <f>_xlfn.XLOOKUP(Transactions[[#This Row],[Sub-category]], [1]!TblDV[Sub-category],[1]!TblDV[Category Type],"")</f>
        <v>Expense</v>
      </c>
      <c r="I63" s="34" t="s">
        <v>62</v>
      </c>
    </row>
    <row r="64" spans="1:9" x14ac:dyDescent="0.35">
      <c r="A64" t="s">
        <v>5</v>
      </c>
      <c r="B64" s="30">
        <v>44239</v>
      </c>
      <c r="C64" s="48">
        <v>135.9</v>
      </c>
      <c r="D64" s="48"/>
      <c r="E64" s="51">
        <f t="shared" si="0"/>
        <v>-135.9</v>
      </c>
      <c r="F64" s="33" t="s">
        <v>14</v>
      </c>
      <c r="G64" s="33" t="str">
        <f>_xlfn.XLOOKUP(Transactions[[#This Row],[Sub-category]], [1]!TblDV[Sub-category],[1]!TblDV[Category],"")</f>
        <v>Living Expenses</v>
      </c>
      <c r="H64" s="33" t="str">
        <f>_xlfn.XLOOKUP(Transactions[[#This Row],[Sub-category]], [1]!TblDV[Sub-category],[1]!TblDV[Category Type],"")</f>
        <v>Expense</v>
      </c>
      <c r="I64" s="34" t="s">
        <v>66</v>
      </c>
    </row>
    <row r="65" spans="1:9" x14ac:dyDescent="0.35">
      <c r="A65" t="s">
        <v>5</v>
      </c>
      <c r="B65" s="30">
        <v>44239</v>
      </c>
      <c r="C65" s="48">
        <v>5</v>
      </c>
      <c r="D65" s="48"/>
      <c r="E65" s="51">
        <f t="shared" si="0"/>
        <v>-5</v>
      </c>
      <c r="F65" s="33" t="s">
        <v>63</v>
      </c>
      <c r="G65" s="33" t="str">
        <f>_xlfn.XLOOKUP(Transactions[[#This Row],[Sub-category]], [1]!TblDV[Sub-category],[1]!TblDV[Category],"")</f>
        <v>Dining Out</v>
      </c>
      <c r="H65" s="33" t="str">
        <f>_xlfn.XLOOKUP(Transactions[[#This Row],[Sub-category]], [1]!TblDV[Sub-category],[1]!TblDV[Category Type],"")</f>
        <v>Expense</v>
      </c>
      <c r="I65" s="34" t="s">
        <v>62</v>
      </c>
    </row>
    <row r="66" spans="1:9" x14ac:dyDescent="0.35">
      <c r="A66" t="s">
        <v>5</v>
      </c>
      <c r="B66" s="30">
        <v>44240</v>
      </c>
      <c r="C66" s="48">
        <v>5</v>
      </c>
      <c r="D66" s="48"/>
      <c r="E66" s="51">
        <f t="shared" ref="E66:E129" si="1">D66-C66</f>
        <v>-5</v>
      </c>
      <c r="F66" s="33" t="s">
        <v>63</v>
      </c>
      <c r="G66" s="33" t="str">
        <f>_xlfn.XLOOKUP(Transactions[[#This Row],[Sub-category]], [1]!TblDV[Sub-category],[1]!TblDV[Category],"")</f>
        <v>Dining Out</v>
      </c>
      <c r="H66" s="33" t="str">
        <f>_xlfn.XLOOKUP(Transactions[[#This Row],[Sub-category]], [1]!TblDV[Sub-category],[1]!TblDV[Category Type],"")</f>
        <v>Expense</v>
      </c>
      <c r="I66" s="34" t="s">
        <v>62</v>
      </c>
    </row>
    <row r="67" spans="1:9" x14ac:dyDescent="0.35">
      <c r="A67" t="s">
        <v>5</v>
      </c>
      <c r="B67" s="30">
        <v>44240</v>
      </c>
      <c r="C67" s="48">
        <v>40.9</v>
      </c>
      <c r="D67" s="48"/>
      <c r="E67" s="51">
        <f t="shared" si="1"/>
        <v>-40.9</v>
      </c>
      <c r="F67" s="33" t="s">
        <v>15</v>
      </c>
      <c r="G67" s="33" t="str">
        <f>_xlfn.XLOOKUP(Transactions[[#This Row],[Sub-category]], [1]!TblDV[Sub-category],[1]!TblDV[Category],"")</f>
        <v>Discretionary</v>
      </c>
      <c r="H67" s="33" t="str">
        <f>_xlfn.XLOOKUP(Transactions[[#This Row],[Sub-category]], [1]!TblDV[Sub-category],[1]!TblDV[Category Type],"")</f>
        <v>Expense</v>
      </c>
      <c r="I67" s="34" t="s">
        <v>69</v>
      </c>
    </row>
    <row r="68" spans="1:9" x14ac:dyDescent="0.35">
      <c r="A68" t="s">
        <v>5</v>
      </c>
      <c r="B68" s="30">
        <v>44240</v>
      </c>
      <c r="C68" s="48">
        <v>99</v>
      </c>
      <c r="D68" s="48"/>
      <c r="E68" s="51">
        <f t="shared" si="1"/>
        <v>-99</v>
      </c>
      <c r="F68" s="33" t="s">
        <v>16</v>
      </c>
      <c r="G68" s="33" t="str">
        <f>_xlfn.XLOOKUP(Transactions[[#This Row],[Sub-category]], [1]!TblDV[Sub-category],[1]!TblDV[Category],"")</f>
        <v>Discretionary</v>
      </c>
      <c r="H68" s="33" t="str">
        <f>_xlfn.XLOOKUP(Transactions[[#This Row],[Sub-category]], [1]!TblDV[Sub-category],[1]!TblDV[Category Type],"")</f>
        <v>Expense</v>
      </c>
      <c r="I68" s="34" t="s">
        <v>70</v>
      </c>
    </row>
    <row r="69" spans="1:9" x14ac:dyDescent="0.35">
      <c r="A69" t="s">
        <v>5</v>
      </c>
      <c r="B69" s="30">
        <v>44240</v>
      </c>
      <c r="C69" s="48">
        <v>53</v>
      </c>
      <c r="D69" s="48"/>
      <c r="E69" s="51">
        <f t="shared" si="1"/>
        <v>-53</v>
      </c>
      <c r="F69" s="33" t="s">
        <v>72</v>
      </c>
      <c r="G69" s="33" t="str">
        <f>_xlfn.XLOOKUP(Transactions[[#This Row],[Sub-category]], [1]!TblDV[Sub-category],[1]!TblDV[Category],"")</f>
        <v>Dining Out</v>
      </c>
      <c r="H69" s="33" t="str">
        <f>_xlfn.XLOOKUP(Transactions[[#This Row],[Sub-category]], [1]!TblDV[Sub-category],[1]!TblDV[Category Type],"")</f>
        <v>Expense</v>
      </c>
      <c r="I69" s="34" t="s">
        <v>71</v>
      </c>
    </row>
    <row r="70" spans="1:9" x14ac:dyDescent="0.35">
      <c r="A70" t="s">
        <v>5</v>
      </c>
      <c r="B70" s="30">
        <v>44241</v>
      </c>
      <c r="C70" s="48">
        <v>28.9</v>
      </c>
      <c r="D70" s="48"/>
      <c r="E70" s="51">
        <f t="shared" si="1"/>
        <v>-28.9</v>
      </c>
      <c r="F70" s="33" t="s">
        <v>27</v>
      </c>
      <c r="G70" s="33" t="str">
        <f>_xlfn.XLOOKUP(Transactions[[#This Row],[Sub-category]], [1]!TblDV[Sub-category],[1]!TblDV[Category],"")</f>
        <v>Transport</v>
      </c>
      <c r="H70" s="33" t="str">
        <f>_xlfn.XLOOKUP(Transactions[[#This Row],[Sub-category]], [1]!TblDV[Sub-category],[1]!TblDV[Category Type],"")</f>
        <v>Expense</v>
      </c>
      <c r="I70" s="34" t="s">
        <v>73</v>
      </c>
    </row>
    <row r="71" spans="1:9" x14ac:dyDescent="0.35">
      <c r="A71" t="s">
        <v>9</v>
      </c>
      <c r="B71" s="30">
        <v>44242</v>
      </c>
      <c r="C71" s="48">
        <v>30</v>
      </c>
      <c r="D71" s="48"/>
      <c r="E71" s="51">
        <f t="shared" si="1"/>
        <v>-30</v>
      </c>
      <c r="F71" s="33" t="s">
        <v>17</v>
      </c>
      <c r="G71" s="33" t="str">
        <f>_xlfn.XLOOKUP(Transactions[[#This Row],[Sub-category]], [1]!TblDV[Sub-category],[1]!TblDV[Category],"")</f>
        <v>Discretionary</v>
      </c>
      <c r="H71" s="33" t="str">
        <f>_xlfn.XLOOKUP(Transactions[[#This Row],[Sub-category]], [1]!TblDV[Sub-category],[1]!TblDV[Category Type],"")</f>
        <v>Expense</v>
      </c>
      <c r="I71" s="34" t="s">
        <v>74</v>
      </c>
    </row>
    <row r="72" spans="1:9" x14ac:dyDescent="0.35">
      <c r="A72" t="s">
        <v>5</v>
      </c>
      <c r="B72" s="30">
        <v>44242</v>
      </c>
      <c r="C72" s="48">
        <v>5</v>
      </c>
      <c r="D72" s="48"/>
      <c r="E72" s="51">
        <f t="shared" si="1"/>
        <v>-5</v>
      </c>
      <c r="F72" s="33" t="s">
        <v>63</v>
      </c>
      <c r="G72" s="33" t="str">
        <f>_xlfn.XLOOKUP(Transactions[[#This Row],[Sub-category]], [1]!TblDV[Sub-category],[1]!TblDV[Category],"")</f>
        <v>Dining Out</v>
      </c>
      <c r="H72" s="33" t="str">
        <f>_xlfn.XLOOKUP(Transactions[[#This Row],[Sub-category]], [1]!TblDV[Sub-category],[1]!TblDV[Category Type],"")</f>
        <v>Expense</v>
      </c>
      <c r="I72" s="34" t="s">
        <v>62</v>
      </c>
    </row>
    <row r="73" spans="1:9" x14ac:dyDescent="0.35">
      <c r="A73" t="s">
        <v>5</v>
      </c>
      <c r="B73" s="30">
        <v>44243</v>
      </c>
      <c r="C73" s="48">
        <v>5</v>
      </c>
      <c r="D73" s="48"/>
      <c r="E73" s="51">
        <f t="shared" si="1"/>
        <v>-5</v>
      </c>
      <c r="F73" s="33" t="s">
        <v>63</v>
      </c>
      <c r="G73" s="33" t="str">
        <f>_xlfn.XLOOKUP(Transactions[[#This Row],[Sub-category]], [1]!TblDV[Sub-category],[1]!TblDV[Category],"")</f>
        <v>Dining Out</v>
      </c>
      <c r="H73" s="33" t="str">
        <f>_xlfn.XLOOKUP(Transactions[[#This Row],[Sub-category]], [1]!TblDV[Sub-category],[1]!TblDV[Category Type],"")</f>
        <v>Expense</v>
      </c>
      <c r="I73" s="34" t="s">
        <v>62</v>
      </c>
    </row>
    <row r="74" spans="1:9" x14ac:dyDescent="0.35">
      <c r="A74" t="s">
        <v>9</v>
      </c>
      <c r="B74" s="30">
        <v>44243</v>
      </c>
      <c r="C74" s="48">
        <v>40</v>
      </c>
      <c r="D74" s="48"/>
      <c r="E74" s="51">
        <f t="shared" si="1"/>
        <v>-40</v>
      </c>
      <c r="F74" s="33" t="s">
        <v>30</v>
      </c>
      <c r="G74" s="33" t="str">
        <f>_xlfn.XLOOKUP(Transactions[[#This Row],[Sub-category]], [1]!TblDV[Sub-category],[1]!TblDV[Category],"")</f>
        <v>Living Expenses</v>
      </c>
      <c r="H74" s="33" t="str">
        <f>_xlfn.XLOOKUP(Transactions[[#This Row],[Sub-category]], [1]!TblDV[Sub-category],[1]!TblDV[Category Type],"")</f>
        <v>Expense</v>
      </c>
      <c r="I74" s="34" t="s">
        <v>76</v>
      </c>
    </row>
    <row r="75" spans="1:9" x14ac:dyDescent="0.35">
      <c r="A75" t="s">
        <v>5</v>
      </c>
      <c r="B75" s="30">
        <v>44244</v>
      </c>
      <c r="C75" s="48">
        <v>45.9</v>
      </c>
      <c r="D75" s="48"/>
      <c r="E75" s="51">
        <f t="shared" si="1"/>
        <v>-45.9</v>
      </c>
      <c r="F75" s="33" t="s">
        <v>22</v>
      </c>
      <c r="G75" s="33" t="str">
        <f>_xlfn.XLOOKUP(Transactions[[#This Row],[Sub-category]], [1]!TblDV[Sub-category],[1]!TblDV[Category],"")</f>
        <v>Discretionary</v>
      </c>
      <c r="H75" s="33" t="str">
        <f>_xlfn.XLOOKUP(Transactions[[#This Row],[Sub-category]], [1]!TblDV[Sub-category],[1]!TblDV[Category Type],"")</f>
        <v>Expense</v>
      </c>
      <c r="I75" s="34" t="s">
        <v>77</v>
      </c>
    </row>
    <row r="76" spans="1:9" x14ac:dyDescent="0.35">
      <c r="A76" t="s">
        <v>5</v>
      </c>
      <c r="B76" s="30">
        <v>44244</v>
      </c>
      <c r="C76" s="48">
        <v>35</v>
      </c>
      <c r="D76" s="48"/>
      <c r="E76" s="51">
        <f t="shared" si="1"/>
        <v>-35</v>
      </c>
      <c r="F76" s="33" t="s">
        <v>15</v>
      </c>
      <c r="G76" s="33" t="str">
        <f>_xlfn.XLOOKUP(Transactions[[#This Row],[Sub-category]], [1]!TblDV[Sub-category],[1]!TblDV[Category],"")</f>
        <v>Discretionary</v>
      </c>
      <c r="H76" s="33" t="str">
        <f>_xlfn.XLOOKUP(Transactions[[#This Row],[Sub-category]], [1]!TblDV[Sub-category],[1]!TblDV[Category Type],"")</f>
        <v>Expense</v>
      </c>
      <c r="I76" s="34" t="s">
        <v>78</v>
      </c>
    </row>
    <row r="77" spans="1:9" x14ac:dyDescent="0.35">
      <c r="A77" t="s">
        <v>5</v>
      </c>
      <c r="B77" s="30">
        <v>44244</v>
      </c>
      <c r="C77" s="48">
        <v>5</v>
      </c>
      <c r="D77" s="48"/>
      <c r="E77" s="51">
        <f t="shared" si="1"/>
        <v>-5</v>
      </c>
      <c r="F77" s="33" t="s">
        <v>63</v>
      </c>
      <c r="G77" s="33" t="str">
        <f>_xlfn.XLOOKUP(Transactions[[#This Row],[Sub-category]], [1]!TblDV[Sub-category],[1]!TblDV[Category],"")</f>
        <v>Dining Out</v>
      </c>
      <c r="H77" s="33" t="str">
        <f>_xlfn.XLOOKUP(Transactions[[#This Row],[Sub-category]], [1]!TblDV[Sub-category],[1]!TblDV[Category Type],"")</f>
        <v>Expense</v>
      </c>
      <c r="I77" s="34" t="s">
        <v>62</v>
      </c>
    </row>
    <row r="78" spans="1:9" x14ac:dyDescent="0.35">
      <c r="A78" t="s">
        <v>5</v>
      </c>
      <c r="B78" s="30">
        <v>44245</v>
      </c>
      <c r="C78" s="48">
        <v>5</v>
      </c>
      <c r="D78" s="48"/>
      <c r="E78" s="51">
        <f t="shared" si="1"/>
        <v>-5</v>
      </c>
      <c r="F78" s="33" t="s">
        <v>63</v>
      </c>
      <c r="G78" s="33" t="str">
        <f>_xlfn.XLOOKUP(Transactions[[#This Row],[Sub-category]], [1]!TblDV[Sub-category],[1]!TblDV[Category],"")</f>
        <v>Dining Out</v>
      </c>
      <c r="H78" s="33" t="str">
        <f>_xlfn.XLOOKUP(Transactions[[#This Row],[Sub-category]], [1]!TblDV[Sub-category],[1]!TblDV[Category Type],"")</f>
        <v>Expense</v>
      </c>
      <c r="I78" s="34" t="s">
        <v>62</v>
      </c>
    </row>
    <row r="79" spans="1:9" x14ac:dyDescent="0.35">
      <c r="A79" t="s">
        <v>5</v>
      </c>
      <c r="B79" s="30">
        <v>44246</v>
      </c>
      <c r="C79" s="48">
        <v>5</v>
      </c>
      <c r="D79" s="48"/>
      <c r="E79" s="51">
        <f t="shared" si="1"/>
        <v>-5</v>
      </c>
      <c r="F79" s="33" t="s">
        <v>63</v>
      </c>
      <c r="G79" s="33" t="str">
        <f>_xlfn.XLOOKUP(Transactions[[#This Row],[Sub-category]], [1]!TblDV[Sub-category],[1]!TblDV[Category],"")</f>
        <v>Dining Out</v>
      </c>
      <c r="H79" s="33" t="str">
        <f>_xlfn.XLOOKUP(Transactions[[#This Row],[Sub-category]], [1]!TblDV[Sub-category],[1]!TblDV[Category Type],"")</f>
        <v>Expense</v>
      </c>
      <c r="I79" s="34" t="s">
        <v>62</v>
      </c>
    </row>
    <row r="80" spans="1:9" x14ac:dyDescent="0.35">
      <c r="A80" t="s">
        <v>5</v>
      </c>
      <c r="B80" s="30">
        <v>44246</v>
      </c>
      <c r="C80" s="48">
        <v>171</v>
      </c>
      <c r="D80" s="48"/>
      <c r="E80" s="51">
        <f t="shared" si="1"/>
        <v>-171</v>
      </c>
      <c r="F80" s="33" t="s">
        <v>14</v>
      </c>
      <c r="G80" s="33" t="str">
        <f>_xlfn.XLOOKUP(Transactions[[#This Row],[Sub-category]], [1]!TblDV[Sub-category],[1]!TblDV[Category],"")</f>
        <v>Living Expenses</v>
      </c>
      <c r="H80" s="33" t="str">
        <f>_xlfn.XLOOKUP(Transactions[[#This Row],[Sub-category]], [1]!TblDV[Sub-category],[1]!TblDV[Category Type],"")</f>
        <v>Expense</v>
      </c>
      <c r="I80" s="34" t="s">
        <v>66</v>
      </c>
    </row>
    <row r="81" spans="1:9" x14ac:dyDescent="0.35">
      <c r="A81" t="s">
        <v>5</v>
      </c>
      <c r="B81" s="30">
        <v>44247</v>
      </c>
      <c r="C81" s="48">
        <v>37.9</v>
      </c>
      <c r="D81" s="48"/>
      <c r="E81" s="51">
        <f t="shared" si="1"/>
        <v>-37.9</v>
      </c>
      <c r="F81" s="33" t="s">
        <v>72</v>
      </c>
      <c r="G81" s="33" t="str">
        <f>_xlfn.XLOOKUP(Transactions[[#This Row],[Sub-category]], [1]!TblDV[Sub-category],[1]!TblDV[Category],"")</f>
        <v>Dining Out</v>
      </c>
      <c r="H81" s="33" t="str">
        <f>_xlfn.XLOOKUP(Transactions[[#This Row],[Sub-category]], [1]!TblDV[Sub-category],[1]!TblDV[Category Type],"")</f>
        <v>Expense</v>
      </c>
      <c r="I81" s="34" t="s">
        <v>79</v>
      </c>
    </row>
    <row r="82" spans="1:9" x14ac:dyDescent="0.35">
      <c r="A82" t="s">
        <v>5</v>
      </c>
      <c r="B82" s="30">
        <v>44248</v>
      </c>
      <c r="C82" s="48">
        <v>12.9</v>
      </c>
      <c r="D82" s="48"/>
      <c r="E82" s="51">
        <f t="shared" si="1"/>
        <v>-12.9</v>
      </c>
      <c r="F82" s="33" t="s">
        <v>72</v>
      </c>
      <c r="G82" s="33" t="str">
        <f>_xlfn.XLOOKUP(Transactions[[#This Row],[Sub-category]], [1]!TblDV[Sub-category],[1]!TblDV[Category],"")</f>
        <v>Dining Out</v>
      </c>
      <c r="H82" s="33" t="str">
        <f>_xlfn.XLOOKUP(Transactions[[#This Row],[Sub-category]], [1]!TblDV[Sub-category],[1]!TblDV[Category Type],"")</f>
        <v>Expense</v>
      </c>
      <c r="I82" s="34" t="s">
        <v>80</v>
      </c>
    </row>
    <row r="83" spans="1:9" x14ac:dyDescent="0.35">
      <c r="A83" t="s">
        <v>9</v>
      </c>
      <c r="B83" s="30">
        <v>44249</v>
      </c>
      <c r="C83" s="48">
        <v>55</v>
      </c>
      <c r="D83" s="48"/>
      <c r="E83" s="51">
        <f t="shared" si="1"/>
        <v>-55</v>
      </c>
      <c r="F83" s="33" t="s">
        <v>23</v>
      </c>
      <c r="G83" s="33" t="str">
        <f>_xlfn.XLOOKUP(Transactions[[#This Row],[Sub-category]], [1]!TblDV[Sub-category],[1]!TblDV[Category],"")</f>
        <v>Charity</v>
      </c>
      <c r="H83" s="33" t="str">
        <f>_xlfn.XLOOKUP(Transactions[[#This Row],[Sub-category]], [1]!TblDV[Sub-category],[1]!TblDV[Category Type],"")</f>
        <v>Expense</v>
      </c>
      <c r="I83" s="34" t="s">
        <v>81</v>
      </c>
    </row>
    <row r="84" spans="1:9" x14ac:dyDescent="0.35">
      <c r="A84" t="s">
        <v>5</v>
      </c>
      <c r="B84" s="30">
        <v>44249</v>
      </c>
      <c r="C84" s="48">
        <v>64.099999999999994</v>
      </c>
      <c r="D84" s="48"/>
      <c r="E84" s="51">
        <f t="shared" si="1"/>
        <v>-64.099999999999994</v>
      </c>
      <c r="F84" s="33" t="s">
        <v>13</v>
      </c>
      <c r="G84" s="33" t="str">
        <f>_xlfn.XLOOKUP(Transactions[[#This Row],[Sub-category]], [1]!TblDV[Sub-category],[1]!TblDV[Category],"")</f>
        <v>Transport</v>
      </c>
      <c r="H84" s="33" t="str">
        <f>_xlfn.XLOOKUP(Transactions[[#This Row],[Sub-category]], [1]!TblDV[Sub-category],[1]!TblDV[Category Type],"")</f>
        <v>Expense</v>
      </c>
      <c r="I84" s="34" t="s">
        <v>68</v>
      </c>
    </row>
    <row r="85" spans="1:9" x14ac:dyDescent="0.35">
      <c r="A85" t="s">
        <v>5</v>
      </c>
      <c r="B85" s="30">
        <v>44249</v>
      </c>
      <c r="C85" s="48">
        <v>5</v>
      </c>
      <c r="D85" s="48"/>
      <c r="E85" s="51">
        <f t="shared" si="1"/>
        <v>-5</v>
      </c>
      <c r="F85" s="33" t="s">
        <v>63</v>
      </c>
      <c r="G85" s="33" t="str">
        <f>_xlfn.XLOOKUP(Transactions[[#This Row],[Sub-category]], [1]!TblDV[Sub-category],[1]!TblDV[Category],"")</f>
        <v>Dining Out</v>
      </c>
      <c r="H85" s="33" t="str">
        <f>_xlfn.XLOOKUP(Transactions[[#This Row],[Sub-category]], [1]!TblDV[Sub-category],[1]!TblDV[Category Type],"")</f>
        <v>Expense</v>
      </c>
      <c r="I85" s="34" t="s">
        <v>62</v>
      </c>
    </row>
    <row r="86" spans="1:9" x14ac:dyDescent="0.35">
      <c r="A86" t="s">
        <v>5</v>
      </c>
      <c r="B86" s="30">
        <v>44250</v>
      </c>
      <c r="C86" s="48">
        <v>5</v>
      </c>
      <c r="D86" s="48"/>
      <c r="E86" s="51">
        <f t="shared" si="1"/>
        <v>-5</v>
      </c>
      <c r="F86" s="33" t="s">
        <v>63</v>
      </c>
      <c r="G86" s="33" t="str">
        <f>_xlfn.XLOOKUP(Transactions[[#This Row],[Sub-category]], [1]!TblDV[Sub-category],[1]!TblDV[Category],"")</f>
        <v>Dining Out</v>
      </c>
      <c r="H86" s="33" t="str">
        <f>_xlfn.XLOOKUP(Transactions[[#This Row],[Sub-category]], [1]!TblDV[Sub-category],[1]!TblDV[Category Type],"")</f>
        <v>Expense</v>
      </c>
      <c r="I86" s="34" t="s">
        <v>62</v>
      </c>
    </row>
    <row r="87" spans="1:9" x14ac:dyDescent="0.35">
      <c r="A87" t="s">
        <v>5</v>
      </c>
      <c r="B87" s="30">
        <v>44251</v>
      </c>
      <c r="C87" s="48">
        <v>5</v>
      </c>
      <c r="D87" s="48"/>
      <c r="E87" s="51">
        <f t="shared" si="1"/>
        <v>-5</v>
      </c>
      <c r="F87" s="33" t="s">
        <v>63</v>
      </c>
      <c r="G87" s="33" t="str">
        <f>_xlfn.XLOOKUP(Transactions[[#This Row],[Sub-category]], [1]!TblDV[Sub-category],[1]!TblDV[Category],"")</f>
        <v>Dining Out</v>
      </c>
      <c r="H87" s="33" t="str">
        <f>_xlfn.XLOOKUP(Transactions[[#This Row],[Sub-category]], [1]!TblDV[Sub-category],[1]!TblDV[Category Type],"")</f>
        <v>Expense</v>
      </c>
      <c r="I87" s="34" t="s">
        <v>62</v>
      </c>
    </row>
    <row r="88" spans="1:9" x14ac:dyDescent="0.35">
      <c r="A88" t="s">
        <v>5</v>
      </c>
      <c r="B88" s="30">
        <v>44252</v>
      </c>
      <c r="C88" s="48">
        <v>5</v>
      </c>
      <c r="D88" s="48"/>
      <c r="E88" s="51">
        <f t="shared" si="1"/>
        <v>-5</v>
      </c>
      <c r="F88" s="33" t="s">
        <v>63</v>
      </c>
      <c r="G88" s="33" t="str">
        <f>_xlfn.XLOOKUP(Transactions[[#This Row],[Sub-category]], [1]!TblDV[Sub-category],[1]!TblDV[Category],"")</f>
        <v>Dining Out</v>
      </c>
      <c r="H88" s="33" t="str">
        <f>_xlfn.XLOOKUP(Transactions[[#This Row],[Sub-category]], [1]!TblDV[Sub-category],[1]!TblDV[Category Type],"")</f>
        <v>Expense</v>
      </c>
      <c r="I88" s="34" t="s">
        <v>62</v>
      </c>
    </row>
    <row r="89" spans="1:9" x14ac:dyDescent="0.35">
      <c r="A89" t="s">
        <v>5</v>
      </c>
      <c r="B89" s="30">
        <v>44253</v>
      </c>
      <c r="C89" s="48">
        <v>5</v>
      </c>
      <c r="D89" s="48"/>
      <c r="E89" s="51">
        <f t="shared" si="1"/>
        <v>-5</v>
      </c>
      <c r="F89" s="33" t="s">
        <v>63</v>
      </c>
      <c r="G89" s="33" t="str">
        <f>_xlfn.XLOOKUP(Transactions[[#This Row],[Sub-category]], [1]!TblDV[Sub-category],[1]!TblDV[Category],"")</f>
        <v>Dining Out</v>
      </c>
      <c r="H89" s="33" t="str">
        <f>_xlfn.XLOOKUP(Transactions[[#This Row],[Sub-category]], [1]!TblDV[Sub-category],[1]!TblDV[Category Type],"")</f>
        <v>Expense</v>
      </c>
      <c r="I89" s="34" t="s">
        <v>62</v>
      </c>
    </row>
    <row r="90" spans="1:9" x14ac:dyDescent="0.35">
      <c r="A90" t="s">
        <v>5</v>
      </c>
      <c r="B90" s="30">
        <v>44253</v>
      </c>
      <c r="C90" s="48">
        <v>162.9</v>
      </c>
      <c r="D90" s="48"/>
      <c r="E90" s="51">
        <f t="shared" si="1"/>
        <v>-162.9</v>
      </c>
      <c r="F90" s="33" t="s">
        <v>14</v>
      </c>
      <c r="G90" s="33" t="str">
        <f>_xlfn.XLOOKUP(Transactions[[#This Row],[Sub-category]], [1]!TblDV[Sub-category],[1]!TblDV[Category],"")</f>
        <v>Living Expenses</v>
      </c>
      <c r="H90" s="33" t="str">
        <f>_xlfn.XLOOKUP(Transactions[[#This Row],[Sub-category]], [1]!TblDV[Sub-category],[1]!TblDV[Category Type],"")</f>
        <v>Expense</v>
      </c>
      <c r="I90" s="34" t="s">
        <v>66</v>
      </c>
    </row>
    <row r="91" spans="1:9" x14ac:dyDescent="0.35">
      <c r="A91" t="s">
        <v>5</v>
      </c>
      <c r="B91" s="30">
        <v>44254</v>
      </c>
      <c r="C91" s="48">
        <v>125.9</v>
      </c>
      <c r="D91" s="48"/>
      <c r="E91" s="51">
        <f t="shared" si="1"/>
        <v>-125.9</v>
      </c>
      <c r="F91" s="33" t="s">
        <v>16</v>
      </c>
      <c r="G91" s="33" t="str">
        <f>_xlfn.XLOOKUP(Transactions[[#This Row],[Sub-category]], [1]!TblDV[Sub-category],[1]!TblDV[Category],"")</f>
        <v>Discretionary</v>
      </c>
      <c r="H91" s="33" t="str">
        <f>_xlfn.XLOOKUP(Transactions[[#This Row],[Sub-category]], [1]!TblDV[Sub-category],[1]!TblDV[Category Type],"")</f>
        <v>Expense</v>
      </c>
      <c r="I91" s="34" t="s">
        <v>82</v>
      </c>
    </row>
    <row r="92" spans="1:9" x14ac:dyDescent="0.35">
      <c r="A92" t="s">
        <v>5</v>
      </c>
      <c r="B92" s="30">
        <v>44254</v>
      </c>
      <c r="C92" s="48">
        <v>137</v>
      </c>
      <c r="D92" s="48"/>
      <c r="E92" s="51">
        <f t="shared" si="1"/>
        <v>-137</v>
      </c>
      <c r="F92" s="33" t="s">
        <v>16</v>
      </c>
      <c r="G92" s="33" t="str">
        <f>_xlfn.XLOOKUP(Transactions[[#This Row],[Sub-category]], [1]!TblDV[Sub-category],[1]!TblDV[Category],"")</f>
        <v>Discretionary</v>
      </c>
      <c r="H92" s="33" t="str">
        <f>_xlfn.XLOOKUP(Transactions[[#This Row],[Sub-category]], [1]!TblDV[Sub-category],[1]!TblDV[Category Type],"")</f>
        <v>Expense</v>
      </c>
      <c r="I92" s="34" t="s">
        <v>84</v>
      </c>
    </row>
    <row r="93" spans="1:9" x14ac:dyDescent="0.35">
      <c r="A93" t="s">
        <v>5</v>
      </c>
      <c r="B93" s="30">
        <v>44255</v>
      </c>
      <c r="C93" s="48">
        <v>146.1</v>
      </c>
      <c r="D93" s="48"/>
      <c r="E93" s="51">
        <f t="shared" si="1"/>
        <v>-146.1</v>
      </c>
      <c r="F93" s="33" t="s">
        <v>16</v>
      </c>
      <c r="G93" s="33" t="str">
        <f>_xlfn.XLOOKUP(Transactions[[#This Row],[Sub-category]], [1]!TblDV[Sub-category],[1]!TblDV[Category],"")</f>
        <v>Discretionary</v>
      </c>
      <c r="H93" s="33" t="str">
        <f>_xlfn.XLOOKUP(Transactions[[#This Row],[Sub-category]], [1]!TblDV[Sub-category],[1]!TblDV[Category Type],"")</f>
        <v>Expense</v>
      </c>
      <c r="I93" s="34" t="s">
        <v>70</v>
      </c>
    </row>
    <row r="94" spans="1:9" x14ac:dyDescent="0.35">
      <c r="A94" t="s">
        <v>5</v>
      </c>
      <c r="B94" s="30">
        <v>44255</v>
      </c>
      <c r="C94" s="48">
        <v>24.1</v>
      </c>
      <c r="D94" s="48"/>
      <c r="E94" s="51">
        <f t="shared" si="1"/>
        <v>-24.1</v>
      </c>
      <c r="F94" s="33" t="s">
        <v>27</v>
      </c>
      <c r="G94" s="33" t="str">
        <f>_xlfn.XLOOKUP(Transactions[[#This Row],[Sub-category]], [1]!TblDV[Sub-category],[1]!TblDV[Category],"")</f>
        <v>Transport</v>
      </c>
      <c r="H94" s="33" t="str">
        <f>_xlfn.XLOOKUP(Transactions[[#This Row],[Sub-category]], [1]!TblDV[Sub-category],[1]!TblDV[Category Type],"")</f>
        <v>Expense</v>
      </c>
      <c r="I94" s="34" t="s">
        <v>73</v>
      </c>
    </row>
    <row r="95" spans="1:9" x14ac:dyDescent="0.35">
      <c r="A95" t="s">
        <v>9</v>
      </c>
      <c r="B95" s="30">
        <v>44256</v>
      </c>
      <c r="C95" s="48"/>
      <c r="D95" s="48">
        <v>4000</v>
      </c>
      <c r="E95" s="51">
        <f t="shared" si="1"/>
        <v>4000</v>
      </c>
      <c r="F95" s="33" t="s">
        <v>7</v>
      </c>
      <c r="G95" s="33" t="str">
        <f>_xlfn.XLOOKUP(Transactions[[#This Row],[Sub-category]], [1]!TblDV[Sub-category],[1]!TblDV[Category],"")</f>
        <v>Salary</v>
      </c>
      <c r="H95" s="33" t="str">
        <f>_xlfn.XLOOKUP(Transactions[[#This Row],[Sub-category]], [1]!TblDV[Sub-category],[1]!TblDV[Category Type],"")</f>
        <v>Income</v>
      </c>
      <c r="I95" s="34" t="s">
        <v>61</v>
      </c>
    </row>
    <row r="96" spans="1:9" x14ac:dyDescent="0.35">
      <c r="A96" t="s">
        <v>5</v>
      </c>
      <c r="B96" s="30">
        <v>44256</v>
      </c>
      <c r="C96" s="48">
        <v>5</v>
      </c>
      <c r="D96" s="48"/>
      <c r="E96" s="51">
        <f t="shared" si="1"/>
        <v>-5</v>
      </c>
      <c r="F96" s="33" t="s">
        <v>63</v>
      </c>
      <c r="G96" s="33" t="str">
        <f>_xlfn.XLOOKUP(Transactions[[#This Row],[Sub-category]], [1]!TblDV[Sub-category],[1]!TblDV[Category],"")</f>
        <v>Dining Out</v>
      </c>
      <c r="H96" s="33" t="str">
        <f>_xlfn.XLOOKUP(Transactions[[#This Row],[Sub-category]], [1]!TblDV[Sub-category],[1]!TblDV[Category Type],"")</f>
        <v>Expense</v>
      </c>
      <c r="I96" s="34" t="s">
        <v>62</v>
      </c>
    </row>
    <row r="97" spans="1:9" x14ac:dyDescent="0.35">
      <c r="A97" t="s">
        <v>9</v>
      </c>
      <c r="B97" s="30">
        <v>44257</v>
      </c>
      <c r="C97" s="48">
        <v>900</v>
      </c>
      <c r="D97" s="48"/>
      <c r="E97" s="51">
        <f t="shared" si="1"/>
        <v>-900</v>
      </c>
      <c r="F97" s="33" t="s">
        <v>10</v>
      </c>
      <c r="G97" s="33" t="str">
        <f>_xlfn.XLOOKUP(Transactions[[#This Row],[Sub-category]], [1]!TblDV[Sub-category],[1]!TblDV[Category],"")</f>
        <v>Living Expenses</v>
      </c>
      <c r="H97" s="33" t="str">
        <f>_xlfn.XLOOKUP(Transactions[[#This Row],[Sub-category]], [1]!TblDV[Sub-category],[1]!TblDV[Category Type],"")</f>
        <v>Expense</v>
      </c>
      <c r="I97" s="34" t="s">
        <v>64</v>
      </c>
    </row>
    <row r="98" spans="1:9" x14ac:dyDescent="0.35">
      <c r="A98" t="s">
        <v>9</v>
      </c>
      <c r="B98" s="30">
        <v>44257</v>
      </c>
      <c r="C98" s="48">
        <v>150</v>
      </c>
      <c r="D98" s="48"/>
      <c r="E98" s="51">
        <f t="shared" si="1"/>
        <v>-150</v>
      </c>
      <c r="F98" s="33" t="s">
        <v>29</v>
      </c>
      <c r="G98" s="33" t="str">
        <f>_xlfn.XLOOKUP(Transactions[[#This Row],[Sub-category]], [1]!TblDV[Sub-category],[1]!TblDV[Category],"")</f>
        <v>Transport</v>
      </c>
      <c r="H98" s="33" t="str">
        <f>_xlfn.XLOOKUP(Transactions[[#This Row],[Sub-category]], [1]!TblDV[Sub-category],[1]!TblDV[Category Type],"")</f>
        <v>Expense</v>
      </c>
      <c r="I98" s="34" t="s">
        <v>65</v>
      </c>
    </row>
    <row r="99" spans="1:9" x14ac:dyDescent="0.35">
      <c r="A99" t="s">
        <v>5</v>
      </c>
      <c r="B99" s="30">
        <v>44257</v>
      </c>
      <c r="C99" s="48">
        <v>5</v>
      </c>
      <c r="D99" s="48"/>
      <c r="E99" s="51">
        <f t="shared" si="1"/>
        <v>-5</v>
      </c>
      <c r="F99" s="33" t="s">
        <v>63</v>
      </c>
      <c r="G99" s="33" t="str">
        <f>_xlfn.XLOOKUP(Transactions[[#This Row],[Sub-category]], [1]!TblDV[Sub-category],[1]!TblDV[Category],"")</f>
        <v>Dining Out</v>
      </c>
      <c r="H99" s="33" t="str">
        <f>_xlfn.XLOOKUP(Transactions[[#This Row],[Sub-category]], [1]!TblDV[Sub-category],[1]!TblDV[Category Type],"")</f>
        <v>Expense</v>
      </c>
      <c r="I99" s="34" t="s">
        <v>62</v>
      </c>
    </row>
    <row r="100" spans="1:9" x14ac:dyDescent="0.35">
      <c r="A100" t="s">
        <v>5</v>
      </c>
      <c r="B100" s="30">
        <v>44258</v>
      </c>
      <c r="C100" s="48">
        <v>5</v>
      </c>
      <c r="D100" s="48"/>
      <c r="E100" s="51">
        <f t="shared" si="1"/>
        <v>-5</v>
      </c>
      <c r="F100" s="33" t="s">
        <v>63</v>
      </c>
      <c r="G100" s="33" t="str">
        <f>_xlfn.XLOOKUP(Transactions[[#This Row],[Sub-category]], [1]!TblDV[Sub-category],[1]!TblDV[Category],"")</f>
        <v>Dining Out</v>
      </c>
      <c r="H100" s="33" t="str">
        <f>_xlfn.XLOOKUP(Transactions[[#This Row],[Sub-category]], [1]!TblDV[Sub-category],[1]!TblDV[Category Type],"")</f>
        <v>Expense</v>
      </c>
      <c r="I100" s="34" t="s">
        <v>62</v>
      </c>
    </row>
    <row r="101" spans="1:9" x14ac:dyDescent="0.35">
      <c r="A101" t="s">
        <v>5</v>
      </c>
      <c r="B101" s="30">
        <v>44259</v>
      </c>
      <c r="C101" s="48">
        <v>5</v>
      </c>
      <c r="D101" s="48"/>
      <c r="E101" s="51">
        <f t="shared" si="1"/>
        <v>-5</v>
      </c>
      <c r="F101" s="33" t="s">
        <v>63</v>
      </c>
      <c r="G101" s="33" t="str">
        <f>_xlfn.XLOOKUP(Transactions[[#This Row],[Sub-category]], [1]!TblDV[Sub-category],[1]!TblDV[Category],"")</f>
        <v>Dining Out</v>
      </c>
      <c r="H101" s="33" t="str">
        <f>_xlfn.XLOOKUP(Transactions[[#This Row],[Sub-category]], [1]!TblDV[Sub-category],[1]!TblDV[Category Type],"")</f>
        <v>Expense</v>
      </c>
      <c r="I101" s="34" t="s">
        <v>62</v>
      </c>
    </row>
    <row r="102" spans="1:9" x14ac:dyDescent="0.35">
      <c r="A102" t="s">
        <v>5</v>
      </c>
      <c r="B102" s="30">
        <v>44260</v>
      </c>
      <c r="C102" s="48">
        <v>5</v>
      </c>
      <c r="D102" s="48"/>
      <c r="E102" s="51">
        <f t="shared" si="1"/>
        <v>-5</v>
      </c>
      <c r="F102" s="33" t="s">
        <v>63</v>
      </c>
      <c r="G102" s="33" t="str">
        <f>_xlfn.XLOOKUP(Transactions[[#This Row],[Sub-category]], [1]!TblDV[Sub-category],[1]!TblDV[Category],"")</f>
        <v>Dining Out</v>
      </c>
      <c r="H102" s="33" t="str">
        <f>_xlfn.XLOOKUP(Transactions[[#This Row],[Sub-category]], [1]!TblDV[Sub-category],[1]!TblDV[Category Type],"")</f>
        <v>Expense</v>
      </c>
      <c r="I102" s="34" t="s">
        <v>62</v>
      </c>
    </row>
    <row r="103" spans="1:9" x14ac:dyDescent="0.35">
      <c r="A103" t="s">
        <v>5</v>
      </c>
      <c r="B103" s="30">
        <v>44260</v>
      </c>
      <c r="C103" s="48">
        <v>149</v>
      </c>
      <c r="D103" s="48"/>
      <c r="E103" s="51">
        <f t="shared" si="1"/>
        <v>-149</v>
      </c>
      <c r="F103" s="33" t="s">
        <v>14</v>
      </c>
      <c r="G103" s="33" t="str">
        <f>_xlfn.XLOOKUP(Transactions[[#This Row],[Sub-category]], [1]!TblDV[Sub-category],[1]!TblDV[Category],"")</f>
        <v>Living Expenses</v>
      </c>
      <c r="H103" s="33" t="str">
        <f>_xlfn.XLOOKUP(Transactions[[#This Row],[Sub-category]], [1]!TblDV[Sub-category],[1]!TblDV[Category Type],"")</f>
        <v>Expense</v>
      </c>
      <c r="I103" s="34" t="s">
        <v>66</v>
      </c>
    </row>
    <row r="104" spans="1:9" x14ac:dyDescent="0.35">
      <c r="A104" t="s">
        <v>9</v>
      </c>
      <c r="B104" s="30">
        <v>44263</v>
      </c>
      <c r="C104" s="48">
        <v>52.1</v>
      </c>
      <c r="D104" s="48"/>
      <c r="E104" s="51">
        <f t="shared" si="1"/>
        <v>-52.1</v>
      </c>
      <c r="F104" s="33" t="s">
        <v>12</v>
      </c>
      <c r="G104" s="33" t="str">
        <f>_xlfn.XLOOKUP(Transactions[[#This Row],[Sub-category]], [1]!TblDV[Sub-category],[1]!TblDV[Category],"")</f>
        <v>Living Expenses</v>
      </c>
      <c r="H104" s="33" t="str">
        <f>_xlfn.XLOOKUP(Transactions[[#This Row],[Sub-category]], [1]!TblDV[Sub-category],[1]!TblDV[Category Type],"")</f>
        <v>Expense</v>
      </c>
      <c r="I104" s="34" t="s">
        <v>67</v>
      </c>
    </row>
    <row r="105" spans="1:9" x14ac:dyDescent="0.35">
      <c r="A105" t="s">
        <v>5</v>
      </c>
      <c r="B105" s="30">
        <v>44263</v>
      </c>
      <c r="C105" s="48">
        <v>5</v>
      </c>
      <c r="D105" s="48"/>
      <c r="E105" s="51">
        <f t="shared" si="1"/>
        <v>-5</v>
      </c>
      <c r="F105" s="33" t="s">
        <v>63</v>
      </c>
      <c r="G105" s="33" t="str">
        <f>_xlfn.XLOOKUP(Transactions[[#This Row],[Sub-category]], [1]!TblDV[Sub-category],[1]!TblDV[Category],"")</f>
        <v>Dining Out</v>
      </c>
      <c r="H105" s="33" t="str">
        <f>_xlfn.XLOOKUP(Transactions[[#This Row],[Sub-category]], [1]!TblDV[Sub-category],[1]!TblDV[Category Type],"")</f>
        <v>Expense</v>
      </c>
      <c r="I105" s="34" t="s">
        <v>62</v>
      </c>
    </row>
    <row r="106" spans="1:9" x14ac:dyDescent="0.35">
      <c r="A106" t="s">
        <v>5</v>
      </c>
      <c r="B106" s="30">
        <v>44264</v>
      </c>
      <c r="C106" s="48">
        <v>5</v>
      </c>
      <c r="D106" s="48"/>
      <c r="E106" s="51">
        <f t="shared" si="1"/>
        <v>-5</v>
      </c>
      <c r="F106" s="33" t="s">
        <v>63</v>
      </c>
      <c r="G106" s="33" t="str">
        <f>_xlfn.XLOOKUP(Transactions[[#This Row],[Sub-category]], [1]!TblDV[Sub-category],[1]!TblDV[Category],"")</f>
        <v>Dining Out</v>
      </c>
      <c r="H106" s="33" t="str">
        <f>_xlfn.XLOOKUP(Transactions[[#This Row],[Sub-category]], [1]!TblDV[Sub-category],[1]!TblDV[Category Type],"")</f>
        <v>Expense</v>
      </c>
      <c r="I106" s="34" t="s">
        <v>62</v>
      </c>
    </row>
    <row r="107" spans="1:9" x14ac:dyDescent="0.35">
      <c r="A107" t="s">
        <v>5</v>
      </c>
      <c r="B107" s="30">
        <v>44265</v>
      </c>
      <c r="C107" s="48">
        <v>78.900000000000006</v>
      </c>
      <c r="D107" s="48"/>
      <c r="E107" s="51">
        <f t="shared" si="1"/>
        <v>-78.900000000000006</v>
      </c>
      <c r="F107" s="33" t="s">
        <v>13</v>
      </c>
      <c r="G107" s="33" t="str">
        <f>_xlfn.XLOOKUP(Transactions[[#This Row],[Sub-category]], [1]!TblDV[Sub-category],[1]!TblDV[Category],"")</f>
        <v>Transport</v>
      </c>
      <c r="H107" s="33" t="str">
        <f>_xlfn.XLOOKUP(Transactions[[#This Row],[Sub-category]], [1]!TblDV[Sub-category],[1]!TblDV[Category Type],"")</f>
        <v>Expense</v>
      </c>
      <c r="I107" s="34" t="s">
        <v>68</v>
      </c>
    </row>
    <row r="108" spans="1:9" x14ac:dyDescent="0.35">
      <c r="A108" t="s">
        <v>5</v>
      </c>
      <c r="B108" s="30">
        <v>44265</v>
      </c>
      <c r="C108" s="48">
        <v>5</v>
      </c>
      <c r="D108" s="48"/>
      <c r="E108" s="51">
        <f t="shared" si="1"/>
        <v>-5</v>
      </c>
      <c r="F108" s="33" t="s">
        <v>63</v>
      </c>
      <c r="G108" s="33" t="str">
        <f>_xlfn.XLOOKUP(Transactions[[#This Row],[Sub-category]], [1]!TblDV[Sub-category],[1]!TblDV[Category],"")</f>
        <v>Dining Out</v>
      </c>
      <c r="H108" s="33" t="str">
        <f>_xlfn.XLOOKUP(Transactions[[#This Row],[Sub-category]], [1]!TblDV[Sub-category],[1]!TblDV[Category Type],"")</f>
        <v>Expense</v>
      </c>
      <c r="I108" s="34" t="s">
        <v>62</v>
      </c>
    </row>
    <row r="109" spans="1:9" x14ac:dyDescent="0.35">
      <c r="A109" t="s">
        <v>5</v>
      </c>
      <c r="B109" s="30">
        <v>44266</v>
      </c>
      <c r="C109" s="48">
        <v>5</v>
      </c>
      <c r="D109" s="48"/>
      <c r="E109" s="51">
        <f t="shared" si="1"/>
        <v>-5</v>
      </c>
      <c r="F109" s="33" t="s">
        <v>63</v>
      </c>
      <c r="G109" s="33" t="str">
        <f>_xlfn.XLOOKUP(Transactions[[#This Row],[Sub-category]], [1]!TblDV[Sub-category],[1]!TblDV[Category],"")</f>
        <v>Dining Out</v>
      </c>
      <c r="H109" s="33" t="str">
        <f>_xlfn.XLOOKUP(Transactions[[#This Row],[Sub-category]], [1]!TblDV[Sub-category],[1]!TblDV[Category Type],"")</f>
        <v>Expense</v>
      </c>
      <c r="I109" s="34" t="s">
        <v>62</v>
      </c>
    </row>
    <row r="110" spans="1:9" x14ac:dyDescent="0.35">
      <c r="A110" t="s">
        <v>5</v>
      </c>
      <c r="B110" s="30">
        <v>44267</v>
      </c>
      <c r="C110" s="48">
        <v>137</v>
      </c>
      <c r="D110" s="48"/>
      <c r="E110" s="51">
        <f t="shared" si="1"/>
        <v>-137</v>
      </c>
      <c r="F110" s="33" t="s">
        <v>14</v>
      </c>
      <c r="G110" s="33" t="str">
        <f>_xlfn.XLOOKUP(Transactions[[#This Row],[Sub-category]], [1]!TblDV[Sub-category],[1]!TblDV[Category],"")</f>
        <v>Living Expenses</v>
      </c>
      <c r="H110" s="33" t="str">
        <f>_xlfn.XLOOKUP(Transactions[[#This Row],[Sub-category]], [1]!TblDV[Sub-category],[1]!TblDV[Category Type],"")</f>
        <v>Expense</v>
      </c>
      <c r="I110" s="34" t="s">
        <v>66</v>
      </c>
    </row>
    <row r="111" spans="1:9" x14ac:dyDescent="0.35">
      <c r="A111" t="s">
        <v>5</v>
      </c>
      <c r="B111" s="30">
        <v>44267</v>
      </c>
      <c r="C111" s="48">
        <v>5</v>
      </c>
      <c r="D111" s="48"/>
      <c r="E111" s="51">
        <f t="shared" si="1"/>
        <v>-5</v>
      </c>
      <c r="F111" s="33" t="s">
        <v>63</v>
      </c>
      <c r="G111" s="33" t="str">
        <f>_xlfn.XLOOKUP(Transactions[[#This Row],[Sub-category]], [1]!TblDV[Sub-category],[1]!TblDV[Category],"")</f>
        <v>Dining Out</v>
      </c>
      <c r="H111" s="33" t="str">
        <f>_xlfn.XLOOKUP(Transactions[[#This Row],[Sub-category]], [1]!TblDV[Sub-category],[1]!TblDV[Category Type],"")</f>
        <v>Expense</v>
      </c>
      <c r="I111" s="34" t="s">
        <v>62</v>
      </c>
    </row>
    <row r="112" spans="1:9" x14ac:dyDescent="0.35">
      <c r="A112" t="s">
        <v>5</v>
      </c>
      <c r="B112" s="30">
        <v>44268</v>
      </c>
      <c r="C112" s="48">
        <v>5</v>
      </c>
      <c r="D112" s="48"/>
      <c r="E112" s="51">
        <f t="shared" si="1"/>
        <v>-5</v>
      </c>
      <c r="F112" s="33" t="s">
        <v>63</v>
      </c>
      <c r="G112" s="33" t="str">
        <f>_xlfn.XLOOKUP(Transactions[[#This Row],[Sub-category]], [1]!TblDV[Sub-category],[1]!TblDV[Category],"")</f>
        <v>Dining Out</v>
      </c>
      <c r="H112" s="33" t="str">
        <f>_xlfn.XLOOKUP(Transactions[[#This Row],[Sub-category]], [1]!TblDV[Sub-category],[1]!TblDV[Category Type],"")</f>
        <v>Expense</v>
      </c>
      <c r="I112" s="34" t="s">
        <v>62</v>
      </c>
    </row>
    <row r="113" spans="1:9" x14ac:dyDescent="0.35">
      <c r="A113" t="s">
        <v>5</v>
      </c>
      <c r="B113" s="30">
        <v>44268</v>
      </c>
      <c r="C113" s="48">
        <v>41.8</v>
      </c>
      <c r="D113" s="48"/>
      <c r="E113" s="51">
        <f t="shared" si="1"/>
        <v>-41.8</v>
      </c>
      <c r="F113" s="33" t="s">
        <v>15</v>
      </c>
      <c r="G113" s="33" t="str">
        <f>_xlfn.XLOOKUP(Transactions[[#This Row],[Sub-category]], [1]!TblDV[Sub-category],[1]!TblDV[Category],"")</f>
        <v>Discretionary</v>
      </c>
      <c r="H113" s="33" t="str">
        <f>_xlfn.XLOOKUP(Transactions[[#This Row],[Sub-category]], [1]!TblDV[Sub-category],[1]!TblDV[Category Type],"")</f>
        <v>Expense</v>
      </c>
      <c r="I113" s="34" t="s">
        <v>69</v>
      </c>
    </row>
    <row r="114" spans="1:9" x14ac:dyDescent="0.35">
      <c r="A114" t="s">
        <v>5</v>
      </c>
      <c r="B114" s="30">
        <v>44268</v>
      </c>
      <c r="C114" s="48">
        <v>99.9</v>
      </c>
      <c r="D114" s="48"/>
      <c r="E114" s="51">
        <f t="shared" si="1"/>
        <v>-99.9</v>
      </c>
      <c r="F114" s="33" t="s">
        <v>16</v>
      </c>
      <c r="G114" s="33" t="str">
        <f>_xlfn.XLOOKUP(Transactions[[#This Row],[Sub-category]], [1]!TblDV[Sub-category],[1]!TblDV[Category],"")</f>
        <v>Discretionary</v>
      </c>
      <c r="H114" s="33" t="str">
        <f>_xlfn.XLOOKUP(Transactions[[#This Row],[Sub-category]], [1]!TblDV[Sub-category],[1]!TblDV[Category Type],"")</f>
        <v>Expense</v>
      </c>
      <c r="I114" s="34" t="s">
        <v>70</v>
      </c>
    </row>
    <row r="115" spans="1:9" x14ac:dyDescent="0.35">
      <c r="A115" t="s">
        <v>5</v>
      </c>
      <c r="B115" s="30">
        <v>44268</v>
      </c>
      <c r="C115" s="48">
        <v>54</v>
      </c>
      <c r="D115" s="48"/>
      <c r="E115" s="51">
        <f t="shared" si="1"/>
        <v>-54</v>
      </c>
      <c r="F115" s="33" t="s">
        <v>72</v>
      </c>
      <c r="G115" s="33" t="str">
        <f>_xlfn.XLOOKUP(Transactions[[#This Row],[Sub-category]], [1]!TblDV[Sub-category],[1]!TblDV[Category],"")</f>
        <v>Dining Out</v>
      </c>
      <c r="H115" s="33" t="str">
        <f>_xlfn.XLOOKUP(Transactions[[#This Row],[Sub-category]], [1]!TblDV[Sub-category],[1]!TblDV[Category Type],"")</f>
        <v>Expense</v>
      </c>
      <c r="I115" s="34" t="s">
        <v>71</v>
      </c>
    </row>
    <row r="116" spans="1:9" x14ac:dyDescent="0.35">
      <c r="A116" t="s">
        <v>5</v>
      </c>
      <c r="B116" s="30">
        <v>44269</v>
      </c>
      <c r="C116" s="48">
        <v>30</v>
      </c>
      <c r="D116" s="48"/>
      <c r="E116" s="51">
        <f t="shared" si="1"/>
        <v>-30</v>
      </c>
      <c r="F116" s="33" t="s">
        <v>27</v>
      </c>
      <c r="G116" s="33" t="str">
        <f>_xlfn.XLOOKUP(Transactions[[#This Row],[Sub-category]], [1]!TblDV[Sub-category],[1]!TblDV[Category],"")</f>
        <v>Transport</v>
      </c>
      <c r="H116" s="33" t="str">
        <f>_xlfn.XLOOKUP(Transactions[[#This Row],[Sub-category]], [1]!TblDV[Sub-category],[1]!TblDV[Category Type],"")</f>
        <v>Expense</v>
      </c>
      <c r="I116" s="34" t="s">
        <v>73</v>
      </c>
    </row>
    <row r="117" spans="1:9" x14ac:dyDescent="0.35">
      <c r="A117" t="s">
        <v>9</v>
      </c>
      <c r="B117" s="30">
        <v>44270</v>
      </c>
      <c r="C117" s="48">
        <v>30</v>
      </c>
      <c r="D117" s="48"/>
      <c r="E117" s="51">
        <f t="shared" si="1"/>
        <v>-30</v>
      </c>
      <c r="F117" s="33" t="s">
        <v>17</v>
      </c>
      <c r="G117" s="33" t="str">
        <f>_xlfn.XLOOKUP(Transactions[[#This Row],[Sub-category]], [1]!TblDV[Sub-category],[1]!TblDV[Category],"")</f>
        <v>Discretionary</v>
      </c>
      <c r="H117" s="33" t="str">
        <f>_xlfn.XLOOKUP(Transactions[[#This Row],[Sub-category]], [1]!TblDV[Sub-category],[1]!TblDV[Category Type],"")</f>
        <v>Expense</v>
      </c>
      <c r="I117" s="34" t="s">
        <v>74</v>
      </c>
    </row>
    <row r="118" spans="1:9" x14ac:dyDescent="0.35">
      <c r="A118" t="s">
        <v>5</v>
      </c>
      <c r="B118" s="30">
        <v>44270</v>
      </c>
      <c r="C118" s="48">
        <v>5</v>
      </c>
      <c r="D118" s="48"/>
      <c r="E118" s="51">
        <f t="shared" si="1"/>
        <v>-5</v>
      </c>
      <c r="F118" s="33" t="s">
        <v>63</v>
      </c>
      <c r="G118" s="33" t="str">
        <f>_xlfn.XLOOKUP(Transactions[[#This Row],[Sub-category]], [1]!TblDV[Sub-category],[1]!TblDV[Category],"")</f>
        <v>Dining Out</v>
      </c>
      <c r="H118" s="33" t="str">
        <f>_xlfn.XLOOKUP(Transactions[[#This Row],[Sub-category]], [1]!TblDV[Sub-category],[1]!TblDV[Category Type],"")</f>
        <v>Expense</v>
      </c>
      <c r="I118" s="34" t="s">
        <v>62</v>
      </c>
    </row>
    <row r="119" spans="1:9" x14ac:dyDescent="0.35">
      <c r="A119" t="s">
        <v>5</v>
      </c>
      <c r="B119" s="30">
        <v>44271</v>
      </c>
      <c r="C119" s="48">
        <v>5</v>
      </c>
      <c r="D119" s="48"/>
      <c r="E119" s="51">
        <f t="shared" si="1"/>
        <v>-5</v>
      </c>
      <c r="F119" s="33" t="s">
        <v>63</v>
      </c>
      <c r="G119" s="33" t="str">
        <f>_xlfn.XLOOKUP(Transactions[[#This Row],[Sub-category]], [1]!TblDV[Sub-category],[1]!TblDV[Category],"")</f>
        <v>Dining Out</v>
      </c>
      <c r="H119" s="33" t="str">
        <f>_xlfn.XLOOKUP(Transactions[[#This Row],[Sub-category]], [1]!TblDV[Sub-category],[1]!TblDV[Category Type],"")</f>
        <v>Expense</v>
      </c>
      <c r="I119" s="34" t="s">
        <v>62</v>
      </c>
    </row>
    <row r="120" spans="1:9" x14ac:dyDescent="0.35">
      <c r="A120" t="s">
        <v>9</v>
      </c>
      <c r="B120" s="30">
        <v>44271</v>
      </c>
      <c r="C120" s="48">
        <v>75</v>
      </c>
      <c r="D120" s="48"/>
      <c r="E120" s="51">
        <f t="shared" si="1"/>
        <v>-75</v>
      </c>
      <c r="F120" s="33" t="s">
        <v>31</v>
      </c>
      <c r="G120" s="33" t="str">
        <f>_xlfn.XLOOKUP(Transactions[[#This Row],[Sub-category]], [1]!TblDV[Sub-category],[1]!TblDV[Category],"")</f>
        <v>Medical</v>
      </c>
      <c r="H120" s="33" t="str">
        <f>_xlfn.XLOOKUP(Transactions[[#This Row],[Sub-category]], [1]!TblDV[Sub-category],[1]!TblDV[Category Type],"")</f>
        <v>Expense</v>
      </c>
      <c r="I120" s="34" t="s">
        <v>85</v>
      </c>
    </row>
    <row r="121" spans="1:9" x14ac:dyDescent="0.35">
      <c r="A121" t="s">
        <v>9</v>
      </c>
      <c r="B121" s="30">
        <v>44271</v>
      </c>
      <c r="C121" s="48">
        <v>40</v>
      </c>
      <c r="D121" s="48"/>
      <c r="E121" s="51">
        <f t="shared" si="1"/>
        <v>-40</v>
      </c>
      <c r="F121" s="33" t="s">
        <v>30</v>
      </c>
      <c r="G121" s="33" t="str">
        <f>_xlfn.XLOOKUP(Transactions[[#This Row],[Sub-category]], [1]!TblDV[Sub-category],[1]!TblDV[Category],"")</f>
        <v>Living Expenses</v>
      </c>
      <c r="H121" s="33" t="str">
        <f>_xlfn.XLOOKUP(Transactions[[#This Row],[Sub-category]], [1]!TblDV[Sub-category],[1]!TblDV[Category Type],"")</f>
        <v>Expense</v>
      </c>
      <c r="I121" s="34" t="s">
        <v>76</v>
      </c>
    </row>
    <row r="122" spans="1:9" x14ac:dyDescent="0.35">
      <c r="A122" t="s">
        <v>5</v>
      </c>
      <c r="B122" s="30">
        <v>44272</v>
      </c>
      <c r="C122" s="48">
        <v>46.8</v>
      </c>
      <c r="D122" s="48"/>
      <c r="E122" s="51">
        <f t="shared" si="1"/>
        <v>-46.8</v>
      </c>
      <c r="F122" s="33" t="s">
        <v>22</v>
      </c>
      <c r="G122" s="33" t="str">
        <f>_xlfn.XLOOKUP(Transactions[[#This Row],[Sub-category]], [1]!TblDV[Sub-category],[1]!TblDV[Category],"")</f>
        <v>Discretionary</v>
      </c>
      <c r="H122" s="33" t="str">
        <f>_xlfn.XLOOKUP(Transactions[[#This Row],[Sub-category]], [1]!TblDV[Sub-category],[1]!TblDV[Category Type],"")</f>
        <v>Expense</v>
      </c>
      <c r="I122" s="34" t="s">
        <v>77</v>
      </c>
    </row>
    <row r="123" spans="1:9" x14ac:dyDescent="0.35">
      <c r="A123" t="s">
        <v>5</v>
      </c>
      <c r="B123" s="30">
        <v>44272</v>
      </c>
      <c r="C123" s="48">
        <v>35</v>
      </c>
      <c r="D123" s="48"/>
      <c r="E123" s="51">
        <f t="shared" si="1"/>
        <v>-35</v>
      </c>
      <c r="F123" s="33" t="s">
        <v>15</v>
      </c>
      <c r="G123" s="33" t="str">
        <f>_xlfn.XLOOKUP(Transactions[[#This Row],[Sub-category]], [1]!TblDV[Sub-category],[1]!TblDV[Category],"")</f>
        <v>Discretionary</v>
      </c>
      <c r="H123" s="33" t="str">
        <f>_xlfn.XLOOKUP(Transactions[[#This Row],[Sub-category]], [1]!TblDV[Sub-category],[1]!TblDV[Category Type],"")</f>
        <v>Expense</v>
      </c>
      <c r="I123" s="34" t="s">
        <v>78</v>
      </c>
    </row>
    <row r="124" spans="1:9" x14ac:dyDescent="0.35">
      <c r="A124" t="s">
        <v>5</v>
      </c>
      <c r="B124" s="30">
        <v>44272</v>
      </c>
      <c r="C124" s="48">
        <v>5</v>
      </c>
      <c r="D124" s="48"/>
      <c r="E124" s="51">
        <f t="shared" si="1"/>
        <v>-5</v>
      </c>
      <c r="F124" s="33" t="s">
        <v>63</v>
      </c>
      <c r="G124" s="33" t="str">
        <f>_xlfn.XLOOKUP(Transactions[[#This Row],[Sub-category]], [1]!TblDV[Sub-category],[1]!TblDV[Category],"")</f>
        <v>Dining Out</v>
      </c>
      <c r="H124" s="33" t="str">
        <f>_xlfn.XLOOKUP(Transactions[[#This Row],[Sub-category]], [1]!TblDV[Sub-category],[1]!TblDV[Category Type],"")</f>
        <v>Expense</v>
      </c>
      <c r="I124" s="34" t="s">
        <v>62</v>
      </c>
    </row>
    <row r="125" spans="1:9" x14ac:dyDescent="0.35">
      <c r="A125" t="s">
        <v>5</v>
      </c>
      <c r="B125" s="30">
        <v>44273</v>
      </c>
      <c r="C125" s="48">
        <v>5</v>
      </c>
      <c r="D125" s="48"/>
      <c r="E125" s="51">
        <f t="shared" si="1"/>
        <v>-5</v>
      </c>
      <c r="F125" s="33" t="s">
        <v>63</v>
      </c>
      <c r="G125" s="33" t="str">
        <f>_xlfn.XLOOKUP(Transactions[[#This Row],[Sub-category]], [1]!TblDV[Sub-category],[1]!TblDV[Category],"")</f>
        <v>Dining Out</v>
      </c>
      <c r="H125" s="33" t="str">
        <f>_xlfn.XLOOKUP(Transactions[[#This Row],[Sub-category]], [1]!TblDV[Sub-category],[1]!TblDV[Category Type],"")</f>
        <v>Expense</v>
      </c>
      <c r="I125" s="34" t="s">
        <v>62</v>
      </c>
    </row>
    <row r="126" spans="1:9" x14ac:dyDescent="0.35">
      <c r="A126" t="s">
        <v>5</v>
      </c>
      <c r="B126" s="30">
        <v>44274</v>
      </c>
      <c r="C126" s="48">
        <v>5</v>
      </c>
      <c r="D126" s="48"/>
      <c r="E126" s="51">
        <f t="shared" si="1"/>
        <v>-5</v>
      </c>
      <c r="F126" s="33" t="s">
        <v>63</v>
      </c>
      <c r="G126" s="33" t="str">
        <f>_xlfn.XLOOKUP(Transactions[[#This Row],[Sub-category]], [1]!TblDV[Sub-category],[1]!TblDV[Category],"")</f>
        <v>Dining Out</v>
      </c>
      <c r="H126" s="33" t="str">
        <f>_xlfn.XLOOKUP(Transactions[[#This Row],[Sub-category]], [1]!TblDV[Sub-category],[1]!TblDV[Category Type],"")</f>
        <v>Expense</v>
      </c>
      <c r="I126" s="34" t="s">
        <v>62</v>
      </c>
    </row>
    <row r="127" spans="1:9" x14ac:dyDescent="0.35">
      <c r="A127" t="s">
        <v>5</v>
      </c>
      <c r="B127" s="30">
        <v>44274</v>
      </c>
      <c r="C127" s="48">
        <v>171.9</v>
      </c>
      <c r="D127" s="48"/>
      <c r="E127" s="51">
        <f t="shared" si="1"/>
        <v>-171.9</v>
      </c>
      <c r="F127" s="33" t="s">
        <v>14</v>
      </c>
      <c r="G127" s="33" t="str">
        <f>_xlfn.XLOOKUP(Transactions[[#This Row],[Sub-category]], [1]!TblDV[Sub-category],[1]!TblDV[Category],"")</f>
        <v>Living Expenses</v>
      </c>
      <c r="H127" s="33" t="str">
        <f>_xlfn.XLOOKUP(Transactions[[#This Row],[Sub-category]], [1]!TblDV[Sub-category],[1]!TblDV[Category Type],"")</f>
        <v>Expense</v>
      </c>
      <c r="I127" s="34" t="s">
        <v>66</v>
      </c>
    </row>
    <row r="128" spans="1:9" x14ac:dyDescent="0.35">
      <c r="A128" t="s">
        <v>5</v>
      </c>
      <c r="B128" s="30">
        <v>44275</v>
      </c>
      <c r="C128" s="48">
        <v>39</v>
      </c>
      <c r="D128" s="48"/>
      <c r="E128" s="51">
        <f t="shared" si="1"/>
        <v>-39</v>
      </c>
      <c r="F128" s="33" t="s">
        <v>72</v>
      </c>
      <c r="G128" s="33" t="str">
        <f>_xlfn.XLOOKUP(Transactions[[#This Row],[Sub-category]], [1]!TblDV[Sub-category],[1]!TblDV[Category],"")</f>
        <v>Dining Out</v>
      </c>
      <c r="H128" s="33" t="str">
        <f>_xlfn.XLOOKUP(Transactions[[#This Row],[Sub-category]], [1]!TblDV[Sub-category],[1]!TblDV[Category Type],"")</f>
        <v>Expense</v>
      </c>
      <c r="I128" s="34" t="s">
        <v>79</v>
      </c>
    </row>
    <row r="129" spans="1:9" x14ac:dyDescent="0.35">
      <c r="A129" t="s">
        <v>5</v>
      </c>
      <c r="B129" s="30">
        <v>44276</v>
      </c>
      <c r="C129" s="48">
        <v>14</v>
      </c>
      <c r="D129" s="48"/>
      <c r="E129" s="51">
        <f t="shared" si="1"/>
        <v>-14</v>
      </c>
      <c r="F129" s="33" t="s">
        <v>72</v>
      </c>
      <c r="G129" s="33" t="str">
        <f>_xlfn.XLOOKUP(Transactions[[#This Row],[Sub-category]], [1]!TblDV[Sub-category],[1]!TblDV[Category],"")</f>
        <v>Dining Out</v>
      </c>
      <c r="H129" s="33" t="str">
        <f>_xlfn.XLOOKUP(Transactions[[#This Row],[Sub-category]], [1]!TblDV[Sub-category],[1]!TblDV[Category Type],"")</f>
        <v>Expense</v>
      </c>
      <c r="I129" s="34" t="s">
        <v>80</v>
      </c>
    </row>
    <row r="130" spans="1:9" x14ac:dyDescent="0.35">
      <c r="A130" t="s">
        <v>9</v>
      </c>
      <c r="B130" s="30">
        <v>44277</v>
      </c>
      <c r="C130" s="48">
        <v>55</v>
      </c>
      <c r="D130" s="48"/>
      <c r="E130" s="51">
        <f t="shared" ref="E130:E193" si="2">D130-C130</f>
        <v>-55</v>
      </c>
      <c r="F130" s="33" t="s">
        <v>23</v>
      </c>
      <c r="G130" s="33" t="str">
        <f>_xlfn.XLOOKUP(Transactions[[#This Row],[Sub-category]], [1]!TblDV[Sub-category],[1]!TblDV[Category],"")</f>
        <v>Charity</v>
      </c>
      <c r="H130" s="33" t="str">
        <f>_xlfn.XLOOKUP(Transactions[[#This Row],[Sub-category]], [1]!TblDV[Sub-category],[1]!TblDV[Category Type],"")</f>
        <v>Expense</v>
      </c>
      <c r="I130" s="34" t="s">
        <v>81</v>
      </c>
    </row>
    <row r="131" spans="1:9" x14ac:dyDescent="0.35">
      <c r="A131" t="s">
        <v>5</v>
      </c>
      <c r="B131" s="30">
        <v>44277</v>
      </c>
      <c r="C131" s="48">
        <v>65</v>
      </c>
      <c r="D131" s="48"/>
      <c r="E131" s="51">
        <f t="shared" si="2"/>
        <v>-65</v>
      </c>
      <c r="F131" s="33" t="s">
        <v>13</v>
      </c>
      <c r="G131" s="33" t="str">
        <f>_xlfn.XLOOKUP(Transactions[[#This Row],[Sub-category]], [1]!TblDV[Sub-category],[1]!TblDV[Category],"")</f>
        <v>Transport</v>
      </c>
      <c r="H131" s="33" t="str">
        <f>_xlfn.XLOOKUP(Transactions[[#This Row],[Sub-category]], [1]!TblDV[Sub-category],[1]!TblDV[Category Type],"")</f>
        <v>Expense</v>
      </c>
      <c r="I131" s="34" t="s">
        <v>68</v>
      </c>
    </row>
    <row r="132" spans="1:9" x14ac:dyDescent="0.35">
      <c r="A132" t="s">
        <v>5</v>
      </c>
      <c r="B132" s="30">
        <v>44277</v>
      </c>
      <c r="C132" s="48">
        <v>5</v>
      </c>
      <c r="D132" s="48"/>
      <c r="E132" s="51">
        <f t="shared" si="2"/>
        <v>-5</v>
      </c>
      <c r="F132" s="33" t="s">
        <v>63</v>
      </c>
      <c r="G132" s="33" t="str">
        <f>_xlfn.XLOOKUP(Transactions[[#This Row],[Sub-category]], [1]!TblDV[Sub-category],[1]!TblDV[Category],"")</f>
        <v>Dining Out</v>
      </c>
      <c r="H132" s="33" t="str">
        <f>_xlfn.XLOOKUP(Transactions[[#This Row],[Sub-category]], [1]!TblDV[Sub-category],[1]!TblDV[Category Type],"")</f>
        <v>Expense</v>
      </c>
      <c r="I132" s="34" t="s">
        <v>62</v>
      </c>
    </row>
    <row r="133" spans="1:9" x14ac:dyDescent="0.35">
      <c r="A133" t="s">
        <v>5</v>
      </c>
      <c r="B133" s="30">
        <v>44278</v>
      </c>
      <c r="C133" s="48">
        <v>5</v>
      </c>
      <c r="D133" s="48"/>
      <c r="E133" s="51">
        <f t="shared" si="2"/>
        <v>-5</v>
      </c>
      <c r="F133" s="33" t="s">
        <v>63</v>
      </c>
      <c r="G133" s="33" t="str">
        <f>_xlfn.XLOOKUP(Transactions[[#This Row],[Sub-category]], [1]!TblDV[Sub-category],[1]!TblDV[Category],"")</f>
        <v>Dining Out</v>
      </c>
      <c r="H133" s="33" t="str">
        <f>_xlfn.XLOOKUP(Transactions[[#This Row],[Sub-category]], [1]!TblDV[Sub-category],[1]!TblDV[Category Type],"")</f>
        <v>Expense</v>
      </c>
      <c r="I133" s="34" t="s">
        <v>62</v>
      </c>
    </row>
    <row r="134" spans="1:9" x14ac:dyDescent="0.35">
      <c r="A134" t="s">
        <v>5</v>
      </c>
      <c r="B134" s="30">
        <v>44279</v>
      </c>
      <c r="C134" s="48">
        <v>5</v>
      </c>
      <c r="D134" s="48"/>
      <c r="E134" s="51">
        <f t="shared" si="2"/>
        <v>-5</v>
      </c>
      <c r="F134" s="33" t="s">
        <v>63</v>
      </c>
      <c r="G134" s="33" t="str">
        <f>_xlfn.XLOOKUP(Transactions[[#This Row],[Sub-category]], [1]!TblDV[Sub-category],[1]!TblDV[Category],"")</f>
        <v>Dining Out</v>
      </c>
      <c r="H134" s="33" t="str">
        <f>_xlfn.XLOOKUP(Transactions[[#This Row],[Sub-category]], [1]!TblDV[Sub-category],[1]!TblDV[Category Type],"")</f>
        <v>Expense</v>
      </c>
      <c r="I134" s="34" t="s">
        <v>62</v>
      </c>
    </row>
    <row r="135" spans="1:9" x14ac:dyDescent="0.35">
      <c r="A135" t="s">
        <v>5</v>
      </c>
      <c r="B135" s="30">
        <v>44280</v>
      </c>
      <c r="C135" s="48">
        <v>5</v>
      </c>
      <c r="D135" s="48"/>
      <c r="E135" s="51">
        <f t="shared" si="2"/>
        <v>-5</v>
      </c>
      <c r="F135" s="33" t="s">
        <v>63</v>
      </c>
      <c r="G135" s="33" t="str">
        <f>_xlfn.XLOOKUP(Transactions[[#This Row],[Sub-category]], [1]!TblDV[Sub-category],[1]!TblDV[Category],"")</f>
        <v>Dining Out</v>
      </c>
      <c r="H135" s="33" t="str">
        <f>_xlfn.XLOOKUP(Transactions[[#This Row],[Sub-category]], [1]!TblDV[Sub-category],[1]!TblDV[Category Type],"")</f>
        <v>Expense</v>
      </c>
      <c r="I135" s="34" t="s">
        <v>62</v>
      </c>
    </row>
    <row r="136" spans="1:9" x14ac:dyDescent="0.35">
      <c r="A136" t="s">
        <v>5</v>
      </c>
      <c r="B136" s="30">
        <v>44281</v>
      </c>
      <c r="C136" s="48">
        <v>5</v>
      </c>
      <c r="D136" s="48"/>
      <c r="E136" s="51">
        <f t="shared" si="2"/>
        <v>-5</v>
      </c>
      <c r="F136" s="33" t="s">
        <v>63</v>
      </c>
      <c r="G136" s="33" t="str">
        <f>_xlfn.XLOOKUP(Transactions[[#This Row],[Sub-category]], [1]!TblDV[Sub-category],[1]!TblDV[Category],"")</f>
        <v>Dining Out</v>
      </c>
      <c r="H136" s="33" t="str">
        <f>_xlfn.XLOOKUP(Transactions[[#This Row],[Sub-category]], [1]!TblDV[Sub-category],[1]!TblDV[Category Type],"")</f>
        <v>Expense</v>
      </c>
      <c r="I136" s="34" t="s">
        <v>62</v>
      </c>
    </row>
    <row r="137" spans="1:9" x14ac:dyDescent="0.35">
      <c r="A137" t="s">
        <v>5</v>
      </c>
      <c r="B137" s="30">
        <v>44281</v>
      </c>
      <c r="C137" s="48">
        <v>209</v>
      </c>
      <c r="D137" s="48"/>
      <c r="E137" s="51">
        <f t="shared" si="2"/>
        <v>-209</v>
      </c>
      <c r="F137" s="33" t="s">
        <v>14</v>
      </c>
      <c r="G137" s="33" t="str">
        <f>_xlfn.XLOOKUP(Transactions[[#This Row],[Sub-category]], [1]!TblDV[Sub-category],[1]!TblDV[Category],"")</f>
        <v>Living Expenses</v>
      </c>
      <c r="H137" s="33" t="str">
        <f>_xlfn.XLOOKUP(Transactions[[#This Row],[Sub-category]], [1]!TblDV[Sub-category],[1]!TblDV[Category Type],"")</f>
        <v>Expense</v>
      </c>
      <c r="I137" s="34" t="s">
        <v>66</v>
      </c>
    </row>
    <row r="138" spans="1:9" x14ac:dyDescent="0.35">
      <c r="A138" t="s">
        <v>5</v>
      </c>
      <c r="B138" s="30">
        <v>44282</v>
      </c>
      <c r="C138" s="48">
        <v>127</v>
      </c>
      <c r="D138" s="48"/>
      <c r="E138" s="51">
        <f t="shared" si="2"/>
        <v>-127</v>
      </c>
      <c r="F138" s="33" t="s">
        <v>16</v>
      </c>
      <c r="G138" s="33" t="str">
        <f>_xlfn.XLOOKUP(Transactions[[#This Row],[Sub-category]], [1]!TblDV[Sub-category],[1]!TblDV[Category],"")</f>
        <v>Discretionary</v>
      </c>
      <c r="H138" s="33" t="str">
        <f>_xlfn.XLOOKUP(Transactions[[#This Row],[Sub-category]], [1]!TblDV[Sub-category],[1]!TblDV[Category Type],"")</f>
        <v>Expense</v>
      </c>
      <c r="I138" s="34" t="s">
        <v>82</v>
      </c>
    </row>
    <row r="139" spans="1:9" x14ac:dyDescent="0.35">
      <c r="A139" t="s">
        <v>5</v>
      </c>
      <c r="B139" s="30">
        <v>44282</v>
      </c>
      <c r="C139" s="48">
        <v>177.2</v>
      </c>
      <c r="D139" s="48"/>
      <c r="E139" s="51">
        <f t="shared" si="2"/>
        <v>-177.2</v>
      </c>
      <c r="F139" s="33" t="s">
        <v>16</v>
      </c>
      <c r="G139" s="33" t="str">
        <f>_xlfn.XLOOKUP(Transactions[[#This Row],[Sub-category]], [1]!TblDV[Sub-category],[1]!TblDV[Category],"")</f>
        <v>Discretionary</v>
      </c>
      <c r="H139" s="33" t="str">
        <f>_xlfn.XLOOKUP(Transactions[[#This Row],[Sub-category]], [1]!TblDV[Sub-category],[1]!TblDV[Category Type],"")</f>
        <v>Expense</v>
      </c>
      <c r="I139" s="34" t="s">
        <v>86</v>
      </c>
    </row>
    <row r="140" spans="1:9" x14ac:dyDescent="0.35">
      <c r="A140" t="s">
        <v>5</v>
      </c>
      <c r="B140" s="30">
        <v>44283</v>
      </c>
      <c r="C140" s="48">
        <v>147.1</v>
      </c>
      <c r="D140" s="48"/>
      <c r="E140" s="51">
        <f t="shared" si="2"/>
        <v>-147.1</v>
      </c>
      <c r="F140" s="33" t="s">
        <v>16</v>
      </c>
      <c r="G140" s="33" t="str">
        <f>_xlfn.XLOOKUP(Transactions[[#This Row],[Sub-category]], [1]!TblDV[Sub-category],[1]!TblDV[Category],"")</f>
        <v>Discretionary</v>
      </c>
      <c r="H140" s="33" t="str">
        <f>_xlfn.XLOOKUP(Transactions[[#This Row],[Sub-category]], [1]!TblDV[Sub-category],[1]!TblDV[Category Type],"")</f>
        <v>Expense</v>
      </c>
      <c r="I140" s="34" t="s">
        <v>70</v>
      </c>
    </row>
    <row r="141" spans="1:9" x14ac:dyDescent="0.35">
      <c r="A141" t="s">
        <v>5</v>
      </c>
      <c r="B141" s="30">
        <v>44283</v>
      </c>
      <c r="C141" s="48">
        <v>25</v>
      </c>
      <c r="D141" s="48"/>
      <c r="E141" s="51">
        <f t="shared" si="2"/>
        <v>-25</v>
      </c>
      <c r="F141" s="33" t="s">
        <v>27</v>
      </c>
      <c r="G141" s="33" t="str">
        <f>_xlfn.XLOOKUP(Transactions[[#This Row],[Sub-category]], [1]!TblDV[Sub-category],[1]!TblDV[Category],"")</f>
        <v>Transport</v>
      </c>
      <c r="H141" s="33" t="str">
        <f>_xlfn.XLOOKUP(Transactions[[#This Row],[Sub-category]], [1]!TblDV[Sub-category],[1]!TblDV[Category Type],"")</f>
        <v>Expense</v>
      </c>
      <c r="I141" s="34" t="s">
        <v>73</v>
      </c>
    </row>
    <row r="142" spans="1:9" x14ac:dyDescent="0.35">
      <c r="A142" t="s">
        <v>5</v>
      </c>
      <c r="B142" s="30">
        <v>44284</v>
      </c>
      <c r="C142" s="48">
        <v>15</v>
      </c>
      <c r="D142" s="48"/>
      <c r="E142" s="51">
        <f t="shared" si="2"/>
        <v>-15</v>
      </c>
      <c r="F142" s="33" t="s">
        <v>72</v>
      </c>
      <c r="G142" s="33" t="str">
        <f>_xlfn.XLOOKUP(Transactions[[#This Row],[Sub-category]], [1]!TblDV[Sub-category],[1]!TblDV[Category],"")</f>
        <v>Dining Out</v>
      </c>
      <c r="H142" s="33" t="str">
        <f>_xlfn.XLOOKUP(Transactions[[#This Row],[Sub-category]], [1]!TblDV[Sub-category],[1]!TblDV[Category Type],"")</f>
        <v>Expense</v>
      </c>
      <c r="I142" s="34" t="s">
        <v>87</v>
      </c>
    </row>
    <row r="143" spans="1:9" x14ac:dyDescent="0.35">
      <c r="A143" t="s">
        <v>5</v>
      </c>
      <c r="B143" s="30">
        <v>44285</v>
      </c>
      <c r="C143" s="48">
        <v>5</v>
      </c>
      <c r="D143" s="48"/>
      <c r="E143" s="51">
        <f t="shared" si="2"/>
        <v>-5</v>
      </c>
      <c r="F143" s="33" t="s">
        <v>63</v>
      </c>
      <c r="G143" s="33" t="str">
        <f>_xlfn.XLOOKUP(Transactions[[#This Row],[Sub-category]], [1]!TblDV[Sub-category],[1]!TblDV[Category],"")</f>
        <v>Dining Out</v>
      </c>
      <c r="H143" s="33" t="str">
        <f>_xlfn.XLOOKUP(Transactions[[#This Row],[Sub-category]], [1]!TblDV[Sub-category],[1]!TblDV[Category Type],"")</f>
        <v>Expense</v>
      </c>
      <c r="I143" s="34" t="s">
        <v>62</v>
      </c>
    </row>
    <row r="144" spans="1:9" x14ac:dyDescent="0.35">
      <c r="A144" t="s">
        <v>5</v>
      </c>
      <c r="B144" s="30">
        <v>44286</v>
      </c>
      <c r="C144" s="48">
        <v>5</v>
      </c>
      <c r="D144" s="48"/>
      <c r="E144" s="51">
        <f t="shared" si="2"/>
        <v>-5</v>
      </c>
      <c r="F144" s="33" t="s">
        <v>63</v>
      </c>
      <c r="G144" s="33" t="str">
        <f>_xlfn.XLOOKUP(Transactions[[#This Row],[Sub-category]], [1]!TblDV[Sub-category],[1]!TblDV[Category],"")</f>
        <v>Dining Out</v>
      </c>
      <c r="H144" s="33" t="str">
        <f>_xlfn.XLOOKUP(Transactions[[#This Row],[Sub-category]], [1]!TblDV[Sub-category],[1]!TblDV[Category Type],"")</f>
        <v>Expense</v>
      </c>
      <c r="I144" s="34" t="s">
        <v>62</v>
      </c>
    </row>
    <row r="145" spans="1:9" x14ac:dyDescent="0.35">
      <c r="A145" t="s">
        <v>9</v>
      </c>
      <c r="B145" s="30">
        <v>44287</v>
      </c>
      <c r="C145" s="48"/>
      <c r="D145" s="48">
        <v>4000</v>
      </c>
      <c r="E145" s="51">
        <f t="shared" si="2"/>
        <v>4000</v>
      </c>
      <c r="F145" s="33" t="s">
        <v>7</v>
      </c>
      <c r="G145" s="33" t="str">
        <f>_xlfn.XLOOKUP(Transactions[[#This Row],[Sub-category]], [1]!TblDV[Sub-category],[1]!TblDV[Category],"")</f>
        <v>Salary</v>
      </c>
      <c r="H145" s="33" t="str">
        <f>_xlfn.XLOOKUP(Transactions[[#This Row],[Sub-category]], [1]!TblDV[Sub-category],[1]!TblDV[Category Type],"")</f>
        <v>Income</v>
      </c>
      <c r="I145" s="34" t="s">
        <v>61</v>
      </c>
    </row>
    <row r="146" spans="1:9" x14ac:dyDescent="0.35">
      <c r="A146" t="s">
        <v>5</v>
      </c>
      <c r="B146" s="30">
        <v>44287</v>
      </c>
      <c r="C146" s="48">
        <v>5</v>
      </c>
      <c r="D146" s="48"/>
      <c r="E146" s="51">
        <f t="shared" si="2"/>
        <v>-5</v>
      </c>
      <c r="F146" s="33" t="s">
        <v>63</v>
      </c>
      <c r="G146" s="33" t="str">
        <f>_xlfn.XLOOKUP(Transactions[[#This Row],[Sub-category]], [1]!TblDV[Sub-category],[1]!TblDV[Category],"")</f>
        <v>Dining Out</v>
      </c>
      <c r="H146" s="33" t="str">
        <f>_xlfn.XLOOKUP(Transactions[[#This Row],[Sub-category]], [1]!TblDV[Sub-category],[1]!TblDV[Category Type],"")</f>
        <v>Expense</v>
      </c>
      <c r="I146" s="34" t="s">
        <v>62</v>
      </c>
    </row>
    <row r="147" spans="1:9" x14ac:dyDescent="0.35">
      <c r="A147" t="s">
        <v>9</v>
      </c>
      <c r="B147" s="30">
        <v>44288</v>
      </c>
      <c r="C147" s="48">
        <v>900</v>
      </c>
      <c r="D147" s="48"/>
      <c r="E147" s="51">
        <f t="shared" si="2"/>
        <v>-900</v>
      </c>
      <c r="F147" s="33" t="s">
        <v>10</v>
      </c>
      <c r="G147" s="33" t="str">
        <f>_xlfn.XLOOKUP(Transactions[[#This Row],[Sub-category]], [1]!TblDV[Sub-category],[1]!TblDV[Category],"")</f>
        <v>Living Expenses</v>
      </c>
      <c r="H147" s="33" t="str">
        <f>_xlfn.XLOOKUP(Transactions[[#This Row],[Sub-category]], [1]!TblDV[Sub-category],[1]!TblDV[Category Type],"")</f>
        <v>Expense</v>
      </c>
      <c r="I147" s="34" t="s">
        <v>64</v>
      </c>
    </row>
    <row r="148" spans="1:9" x14ac:dyDescent="0.35">
      <c r="A148" t="s">
        <v>9</v>
      </c>
      <c r="B148" s="30">
        <v>44288</v>
      </c>
      <c r="C148" s="48">
        <v>150</v>
      </c>
      <c r="D148" s="48"/>
      <c r="E148" s="51">
        <f t="shared" si="2"/>
        <v>-150</v>
      </c>
      <c r="F148" s="33" t="s">
        <v>29</v>
      </c>
      <c r="G148" s="33" t="str">
        <f>_xlfn.XLOOKUP(Transactions[[#This Row],[Sub-category]], [1]!TblDV[Sub-category],[1]!TblDV[Category],"")</f>
        <v>Transport</v>
      </c>
      <c r="H148" s="33" t="str">
        <f>_xlfn.XLOOKUP(Transactions[[#This Row],[Sub-category]], [1]!TblDV[Sub-category],[1]!TblDV[Category Type],"")</f>
        <v>Expense</v>
      </c>
      <c r="I148" s="34" t="s">
        <v>65</v>
      </c>
    </row>
    <row r="149" spans="1:9" x14ac:dyDescent="0.35">
      <c r="A149" t="s">
        <v>5</v>
      </c>
      <c r="B149" s="30">
        <v>44288</v>
      </c>
      <c r="C149" s="48">
        <v>5</v>
      </c>
      <c r="D149" s="48"/>
      <c r="E149" s="51">
        <f t="shared" si="2"/>
        <v>-5</v>
      </c>
      <c r="F149" s="33" t="s">
        <v>63</v>
      </c>
      <c r="G149" s="33" t="str">
        <f>_xlfn.XLOOKUP(Transactions[[#This Row],[Sub-category]], [1]!TblDV[Sub-category],[1]!TblDV[Category],"")</f>
        <v>Dining Out</v>
      </c>
      <c r="H149" s="33" t="str">
        <f>_xlfn.XLOOKUP(Transactions[[#This Row],[Sub-category]], [1]!TblDV[Sub-category],[1]!TblDV[Category Type],"")</f>
        <v>Expense</v>
      </c>
      <c r="I149" s="34" t="s">
        <v>62</v>
      </c>
    </row>
    <row r="150" spans="1:9" x14ac:dyDescent="0.35">
      <c r="A150" t="s">
        <v>5</v>
      </c>
      <c r="B150" s="30">
        <v>44289</v>
      </c>
      <c r="C150" s="48">
        <v>5</v>
      </c>
      <c r="D150" s="48"/>
      <c r="E150" s="51">
        <f t="shared" si="2"/>
        <v>-5</v>
      </c>
      <c r="F150" s="33" t="s">
        <v>63</v>
      </c>
      <c r="G150" s="33" t="str">
        <f>_xlfn.XLOOKUP(Transactions[[#This Row],[Sub-category]], [1]!TblDV[Sub-category],[1]!TblDV[Category],"")</f>
        <v>Dining Out</v>
      </c>
      <c r="H150" s="33" t="str">
        <f>_xlfn.XLOOKUP(Transactions[[#This Row],[Sub-category]], [1]!TblDV[Sub-category],[1]!TblDV[Category Type],"")</f>
        <v>Expense</v>
      </c>
      <c r="I150" s="34" t="s">
        <v>62</v>
      </c>
    </row>
    <row r="151" spans="1:9" x14ac:dyDescent="0.35">
      <c r="A151" t="s">
        <v>5</v>
      </c>
      <c r="B151" s="30">
        <v>44290</v>
      </c>
      <c r="C151" s="48">
        <v>5</v>
      </c>
      <c r="D151" s="48"/>
      <c r="E151" s="51">
        <f t="shared" si="2"/>
        <v>-5</v>
      </c>
      <c r="F151" s="33" t="s">
        <v>63</v>
      </c>
      <c r="G151" s="33" t="str">
        <f>_xlfn.XLOOKUP(Transactions[[#This Row],[Sub-category]], [1]!TblDV[Sub-category],[1]!TblDV[Category],"")</f>
        <v>Dining Out</v>
      </c>
      <c r="H151" s="33" t="str">
        <f>_xlfn.XLOOKUP(Transactions[[#This Row],[Sub-category]], [1]!TblDV[Sub-category],[1]!TblDV[Category Type],"")</f>
        <v>Expense</v>
      </c>
      <c r="I151" s="34" t="s">
        <v>62</v>
      </c>
    </row>
    <row r="152" spans="1:9" x14ac:dyDescent="0.35">
      <c r="A152" t="s">
        <v>5</v>
      </c>
      <c r="B152" s="30">
        <v>44291</v>
      </c>
      <c r="C152" s="48">
        <v>5</v>
      </c>
      <c r="D152" s="48"/>
      <c r="E152" s="51">
        <f t="shared" si="2"/>
        <v>-5</v>
      </c>
      <c r="F152" s="33" t="s">
        <v>63</v>
      </c>
      <c r="G152" s="33" t="str">
        <f>_xlfn.XLOOKUP(Transactions[[#This Row],[Sub-category]], [1]!TblDV[Sub-category],[1]!TblDV[Category],"")</f>
        <v>Dining Out</v>
      </c>
      <c r="H152" s="33" t="str">
        <f>_xlfn.XLOOKUP(Transactions[[#This Row],[Sub-category]], [1]!TblDV[Sub-category],[1]!TblDV[Category Type],"")</f>
        <v>Expense</v>
      </c>
      <c r="I152" s="34" t="s">
        <v>62</v>
      </c>
    </row>
    <row r="153" spans="1:9" x14ac:dyDescent="0.35">
      <c r="A153" t="s">
        <v>5</v>
      </c>
      <c r="B153" s="30">
        <v>44291</v>
      </c>
      <c r="C153" s="48">
        <v>158.19999999999999</v>
      </c>
      <c r="D153" s="48"/>
      <c r="E153" s="51">
        <f t="shared" si="2"/>
        <v>-158.19999999999999</v>
      </c>
      <c r="F153" s="33" t="s">
        <v>14</v>
      </c>
      <c r="G153" s="33" t="str">
        <f>_xlfn.XLOOKUP(Transactions[[#This Row],[Sub-category]], [1]!TblDV[Sub-category],[1]!TblDV[Category],"")</f>
        <v>Living Expenses</v>
      </c>
      <c r="H153" s="33" t="str">
        <f>_xlfn.XLOOKUP(Transactions[[#This Row],[Sub-category]], [1]!TblDV[Sub-category],[1]!TblDV[Category Type],"")</f>
        <v>Expense</v>
      </c>
      <c r="I153" s="34" t="s">
        <v>66</v>
      </c>
    </row>
    <row r="154" spans="1:9" x14ac:dyDescent="0.35">
      <c r="A154" t="s">
        <v>9</v>
      </c>
      <c r="B154" s="30">
        <v>44294</v>
      </c>
      <c r="C154" s="48">
        <v>53.2</v>
      </c>
      <c r="D154" s="48"/>
      <c r="E154" s="51">
        <f t="shared" si="2"/>
        <v>-53.2</v>
      </c>
      <c r="F154" s="33" t="s">
        <v>12</v>
      </c>
      <c r="G154" s="33" t="str">
        <f>_xlfn.XLOOKUP(Transactions[[#This Row],[Sub-category]], [1]!TblDV[Sub-category],[1]!TblDV[Category],"")</f>
        <v>Living Expenses</v>
      </c>
      <c r="H154" s="33" t="str">
        <f>_xlfn.XLOOKUP(Transactions[[#This Row],[Sub-category]], [1]!TblDV[Sub-category],[1]!TblDV[Category Type],"")</f>
        <v>Expense</v>
      </c>
      <c r="I154" s="34" t="s">
        <v>67</v>
      </c>
    </row>
    <row r="155" spans="1:9" x14ac:dyDescent="0.35">
      <c r="A155" t="s">
        <v>5</v>
      </c>
      <c r="B155" s="30">
        <v>44294</v>
      </c>
      <c r="C155" s="48">
        <v>5</v>
      </c>
      <c r="D155" s="48"/>
      <c r="E155" s="51">
        <f t="shared" si="2"/>
        <v>-5</v>
      </c>
      <c r="F155" s="33" t="s">
        <v>63</v>
      </c>
      <c r="G155" s="33" t="str">
        <f>_xlfn.XLOOKUP(Transactions[[#This Row],[Sub-category]], [1]!TblDV[Sub-category],[1]!TblDV[Category],"")</f>
        <v>Dining Out</v>
      </c>
      <c r="H155" s="33" t="str">
        <f>_xlfn.XLOOKUP(Transactions[[#This Row],[Sub-category]], [1]!TblDV[Sub-category],[1]!TblDV[Category Type],"")</f>
        <v>Expense</v>
      </c>
      <c r="I155" s="34" t="s">
        <v>62</v>
      </c>
    </row>
    <row r="156" spans="1:9" x14ac:dyDescent="0.35">
      <c r="A156" t="s">
        <v>5</v>
      </c>
      <c r="B156" s="30">
        <v>44295</v>
      </c>
      <c r="C156" s="48">
        <v>5</v>
      </c>
      <c r="D156" s="48"/>
      <c r="E156" s="51">
        <f t="shared" si="2"/>
        <v>-5</v>
      </c>
      <c r="F156" s="33" t="s">
        <v>63</v>
      </c>
      <c r="G156" s="33" t="str">
        <f>_xlfn.XLOOKUP(Transactions[[#This Row],[Sub-category]], [1]!TblDV[Sub-category],[1]!TblDV[Category],"")</f>
        <v>Dining Out</v>
      </c>
      <c r="H156" s="33" t="str">
        <f>_xlfn.XLOOKUP(Transactions[[#This Row],[Sub-category]], [1]!TblDV[Sub-category],[1]!TblDV[Category Type],"")</f>
        <v>Expense</v>
      </c>
      <c r="I156" s="34" t="s">
        <v>62</v>
      </c>
    </row>
    <row r="157" spans="1:9" x14ac:dyDescent="0.35">
      <c r="A157" t="s">
        <v>5</v>
      </c>
      <c r="B157" s="30">
        <v>44296</v>
      </c>
      <c r="C157" s="48">
        <v>79.900000000000006</v>
      </c>
      <c r="D157" s="48"/>
      <c r="E157" s="51">
        <f t="shared" si="2"/>
        <v>-79.900000000000006</v>
      </c>
      <c r="F157" s="33" t="s">
        <v>13</v>
      </c>
      <c r="G157" s="33" t="str">
        <f>_xlfn.XLOOKUP(Transactions[[#This Row],[Sub-category]], [1]!TblDV[Sub-category],[1]!TblDV[Category],"")</f>
        <v>Transport</v>
      </c>
      <c r="H157" s="33" t="str">
        <f>_xlfn.XLOOKUP(Transactions[[#This Row],[Sub-category]], [1]!TblDV[Sub-category],[1]!TblDV[Category Type],"")</f>
        <v>Expense</v>
      </c>
      <c r="I157" s="34" t="s">
        <v>68</v>
      </c>
    </row>
    <row r="158" spans="1:9" x14ac:dyDescent="0.35">
      <c r="A158" t="s">
        <v>5</v>
      </c>
      <c r="B158" s="30">
        <v>44296</v>
      </c>
      <c r="C158" s="48">
        <v>5</v>
      </c>
      <c r="D158" s="48"/>
      <c r="E158" s="51">
        <f t="shared" si="2"/>
        <v>-5</v>
      </c>
      <c r="F158" s="33" t="s">
        <v>63</v>
      </c>
      <c r="G158" s="33" t="str">
        <f>_xlfn.XLOOKUP(Transactions[[#This Row],[Sub-category]], [1]!TblDV[Sub-category],[1]!TblDV[Category],"")</f>
        <v>Dining Out</v>
      </c>
      <c r="H158" s="33" t="str">
        <f>_xlfn.XLOOKUP(Transactions[[#This Row],[Sub-category]], [1]!TblDV[Sub-category],[1]!TblDV[Category Type],"")</f>
        <v>Expense</v>
      </c>
      <c r="I158" s="34" t="s">
        <v>62</v>
      </c>
    </row>
    <row r="159" spans="1:9" x14ac:dyDescent="0.35">
      <c r="A159" t="s">
        <v>5</v>
      </c>
      <c r="B159" s="30">
        <v>44297</v>
      </c>
      <c r="C159" s="48">
        <v>5</v>
      </c>
      <c r="D159" s="48"/>
      <c r="E159" s="51">
        <f t="shared" si="2"/>
        <v>-5</v>
      </c>
      <c r="F159" s="33" t="s">
        <v>63</v>
      </c>
      <c r="G159" s="33" t="str">
        <f>_xlfn.XLOOKUP(Transactions[[#This Row],[Sub-category]], [1]!TblDV[Sub-category],[1]!TblDV[Category],"")</f>
        <v>Dining Out</v>
      </c>
      <c r="H159" s="33" t="str">
        <f>_xlfn.XLOOKUP(Transactions[[#This Row],[Sub-category]], [1]!TblDV[Sub-category],[1]!TblDV[Category Type],"")</f>
        <v>Expense</v>
      </c>
      <c r="I159" s="34" t="s">
        <v>62</v>
      </c>
    </row>
    <row r="160" spans="1:9" x14ac:dyDescent="0.35">
      <c r="A160" t="s">
        <v>5</v>
      </c>
      <c r="B160" s="30">
        <v>44298</v>
      </c>
      <c r="C160" s="48">
        <v>98</v>
      </c>
      <c r="D160" s="48"/>
      <c r="E160" s="51">
        <f t="shared" si="2"/>
        <v>-98</v>
      </c>
      <c r="F160" s="33" t="s">
        <v>14</v>
      </c>
      <c r="G160" s="33" t="str">
        <f>_xlfn.XLOOKUP(Transactions[[#This Row],[Sub-category]], [1]!TblDV[Sub-category],[1]!TblDV[Category],"")</f>
        <v>Living Expenses</v>
      </c>
      <c r="H160" s="33" t="str">
        <f>_xlfn.XLOOKUP(Transactions[[#This Row],[Sub-category]], [1]!TblDV[Sub-category],[1]!TblDV[Category Type],"")</f>
        <v>Expense</v>
      </c>
      <c r="I160" s="34" t="s">
        <v>66</v>
      </c>
    </row>
    <row r="161" spans="1:9" x14ac:dyDescent="0.35">
      <c r="A161" t="s">
        <v>5</v>
      </c>
      <c r="B161" s="30">
        <v>44298</v>
      </c>
      <c r="C161" s="48">
        <v>5</v>
      </c>
      <c r="D161" s="48"/>
      <c r="E161" s="51">
        <f t="shared" si="2"/>
        <v>-5</v>
      </c>
      <c r="F161" s="33" t="s">
        <v>63</v>
      </c>
      <c r="G161" s="33" t="str">
        <f>_xlfn.XLOOKUP(Transactions[[#This Row],[Sub-category]], [1]!TblDV[Sub-category],[1]!TblDV[Category],"")</f>
        <v>Dining Out</v>
      </c>
      <c r="H161" s="33" t="str">
        <f>_xlfn.XLOOKUP(Transactions[[#This Row],[Sub-category]], [1]!TblDV[Sub-category],[1]!TblDV[Category Type],"")</f>
        <v>Expense</v>
      </c>
      <c r="I161" s="34" t="s">
        <v>62</v>
      </c>
    </row>
    <row r="162" spans="1:9" x14ac:dyDescent="0.35">
      <c r="A162" t="s">
        <v>5</v>
      </c>
      <c r="B162" s="30">
        <v>44299</v>
      </c>
      <c r="C162" s="48">
        <v>5</v>
      </c>
      <c r="D162" s="48"/>
      <c r="E162" s="51">
        <f t="shared" si="2"/>
        <v>-5</v>
      </c>
      <c r="F162" s="33" t="s">
        <v>63</v>
      </c>
      <c r="G162" s="33" t="str">
        <f>_xlfn.XLOOKUP(Transactions[[#This Row],[Sub-category]], [1]!TblDV[Sub-category],[1]!TblDV[Category],"")</f>
        <v>Dining Out</v>
      </c>
      <c r="H162" s="33" t="str">
        <f>_xlfn.XLOOKUP(Transactions[[#This Row],[Sub-category]], [1]!TblDV[Sub-category],[1]!TblDV[Category Type],"")</f>
        <v>Expense</v>
      </c>
      <c r="I162" s="34" t="s">
        <v>62</v>
      </c>
    </row>
    <row r="163" spans="1:9" x14ac:dyDescent="0.35">
      <c r="A163" t="s">
        <v>5</v>
      </c>
      <c r="B163" s="30">
        <v>44299</v>
      </c>
      <c r="C163" s="48">
        <v>42.8</v>
      </c>
      <c r="D163" s="48"/>
      <c r="E163" s="51">
        <f t="shared" si="2"/>
        <v>-42.8</v>
      </c>
      <c r="F163" s="33" t="s">
        <v>15</v>
      </c>
      <c r="G163" s="33" t="str">
        <f>_xlfn.XLOOKUP(Transactions[[#This Row],[Sub-category]], [1]!TblDV[Sub-category],[1]!TblDV[Category],"")</f>
        <v>Discretionary</v>
      </c>
      <c r="H163" s="33" t="str">
        <f>_xlfn.XLOOKUP(Transactions[[#This Row],[Sub-category]], [1]!TblDV[Sub-category],[1]!TblDV[Category Type],"")</f>
        <v>Expense</v>
      </c>
      <c r="I163" s="34" t="s">
        <v>69</v>
      </c>
    </row>
    <row r="164" spans="1:9" x14ac:dyDescent="0.35">
      <c r="A164" t="s">
        <v>5</v>
      </c>
      <c r="B164" s="30">
        <v>44299</v>
      </c>
      <c r="C164" s="48">
        <v>100.9</v>
      </c>
      <c r="D164" s="48"/>
      <c r="E164" s="51">
        <f t="shared" si="2"/>
        <v>-100.9</v>
      </c>
      <c r="F164" s="33" t="s">
        <v>16</v>
      </c>
      <c r="G164" s="33" t="str">
        <f>_xlfn.XLOOKUP(Transactions[[#This Row],[Sub-category]], [1]!TblDV[Sub-category],[1]!TblDV[Category],"")</f>
        <v>Discretionary</v>
      </c>
      <c r="H164" s="33" t="str">
        <f>_xlfn.XLOOKUP(Transactions[[#This Row],[Sub-category]], [1]!TblDV[Sub-category],[1]!TblDV[Category Type],"")</f>
        <v>Expense</v>
      </c>
      <c r="I164" s="34" t="s">
        <v>70</v>
      </c>
    </row>
    <row r="165" spans="1:9" x14ac:dyDescent="0.35">
      <c r="A165" t="s">
        <v>5</v>
      </c>
      <c r="B165" s="30">
        <v>44299</v>
      </c>
      <c r="C165" s="48">
        <v>54.9</v>
      </c>
      <c r="D165" s="48"/>
      <c r="E165" s="51">
        <f t="shared" si="2"/>
        <v>-54.9</v>
      </c>
      <c r="F165" s="33" t="s">
        <v>72</v>
      </c>
      <c r="G165" s="33" t="str">
        <f>_xlfn.XLOOKUP(Transactions[[#This Row],[Sub-category]], [1]!TblDV[Sub-category],[1]!TblDV[Category],"")</f>
        <v>Dining Out</v>
      </c>
      <c r="H165" s="33" t="str">
        <f>_xlfn.XLOOKUP(Transactions[[#This Row],[Sub-category]], [1]!TblDV[Sub-category],[1]!TblDV[Category Type],"")</f>
        <v>Expense</v>
      </c>
      <c r="I165" s="34" t="s">
        <v>71</v>
      </c>
    </row>
    <row r="166" spans="1:9" x14ac:dyDescent="0.35">
      <c r="A166" t="s">
        <v>5</v>
      </c>
      <c r="B166" s="30">
        <v>44300</v>
      </c>
      <c r="C166" s="48">
        <v>31</v>
      </c>
      <c r="D166" s="48"/>
      <c r="E166" s="51">
        <f t="shared" si="2"/>
        <v>-31</v>
      </c>
      <c r="F166" s="33" t="s">
        <v>27</v>
      </c>
      <c r="G166" s="33" t="str">
        <f>_xlfn.XLOOKUP(Transactions[[#This Row],[Sub-category]], [1]!TblDV[Sub-category],[1]!TblDV[Category],"")</f>
        <v>Transport</v>
      </c>
      <c r="H166" s="33" t="str">
        <f>_xlfn.XLOOKUP(Transactions[[#This Row],[Sub-category]], [1]!TblDV[Sub-category],[1]!TblDV[Category Type],"")</f>
        <v>Expense</v>
      </c>
      <c r="I166" s="34" t="s">
        <v>73</v>
      </c>
    </row>
    <row r="167" spans="1:9" x14ac:dyDescent="0.35">
      <c r="A167" t="s">
        <v>9</v>
      </c>
      <c r="B167" s="30">
        <v>44301</v>
      </c>
      <c r="C167" s="48">
        <v>30</v>
      </c>
      <c r="D167" s="48"/>
      <c r="E167" s="51">
        <f t="shared" si="2"/>
        <v>-30</v>
      </c>
      <c r="F167" s="33" t="s">
        <v>17</v>
      </c>
      <c r="G167" s="33" t="str">
        <f>_xlfn.XLOOKUP(Transactions[[#This Row],[Sub-category]], [1]!TblDV[Sub-category],[1]!TblDV[Category],"")</f>
        <v>Discretionary</v>
      </c>
      <c r="H167" s="33" t="str">
        <f>_xlfn.XLOOKUP(Transactions[[#This Row],[Sub-category]], [1]!TblDV[Sub-category],[1]!TblDV[Category Type],"")</f>
        <v>Expense</v>
      </c>
      <c r="I167" s="34" t="s">
        <v>74</v>
      </c>
    </row>
    <row r="168" spans="1:9" x14ac:dyDescent="0.35">
      <c r="A168" t="s">
        <v>5</v>
      </c>
      <c r="B168" s="30">
        <v>44301</v>
      </c>
      <c r="C168" s="48">
        <v>5</v>
      </c>
      <c r="D168" s="48"/>
      <c r="E168" s="51">
        <f t="shared" si="2"/>
        <v>-5</v>
      </c>
      <c r="F168" s="33" t="s">
        <v>63</v>
      </c>
      <c r="G168" s="33" t="str">
        <f>_xlfn.XLOOKUP(Transactions[[#This Row],[Sub-category]], [1]!TblDV[Sub-category],[1]!TblDV[Category],"")</f>
        <v>Dining Out</v>
      </c>
      <c r="H168" s="33" t="str">
        <f>_xlfn.XLOOKUP(Transactions[[#This Row],[Sub-category]], [1]!TblDV[Sub-category],[1]!TblDV[Category Type],"")</f>
        <v>Expense</v>
      </c>
      <c r="I168" s="34" t="s">
        <v>62</v>
      </c>
    </row>
    <row r="169" spans="1:9" x14ac:dyDescent="0.35">
      <c r="A169" t="s">
        <v>5</v>
      </c>
      <c r="B169" s="30">
        <v>44302</v>
      </c>
      <c r="C169" s="48">
        <v>5</v>
      </c>
      <c r="D169" s="48"/>
      <c r="E169" s="51">
        <f t="shared" si="2"/>
        <v>-5</v>
      </c>
      <c r="F169" s="33" t="s">
        <v>63</v>
      </c>
      <c r="G169" s="33" t="str">
        <f>_xlfn.XLOOKUP(Transactions[[#This Row],[Sub-category]], [1]!TblDV[Sub-category],[1]!TblDV[Category],"")</f>
        <v>Dining Out</v>
      </c>
      <c r="H169" s="33" t="str">
        <f>_xlfn.XLOOKUP(Transactions[[#This Row],[Sub-category]], [1]!TblDV[Sub-category],[1]!TblDV[Category Type],"")</f>
        <v>Expense</v>
      </c>
      <c r="I169" s="34" t="s">
        <v>62</v>
      </c>
    </row>
    <row r="170" spans="1:9" x14ac:dyDescent="0.35">
      <c r="A170" t="s">
        <v>9</v>
      </c>
      <c r="B170" s="30">
        <v>44302</v>
      </c>
      <c r="C170" s="48">
        <v>40</v>
      </c>
      <c r="D170" s="48"/>
      <c r="E170" s="51">
        <f t="shared" si="2"/>
        <v>-40</v>
      </c>
      <c r="F170" s="33" t="s">
        <v>30</v>
      </c>
      <c r="G170" s="33" t="str">
        <f>_xlfn.XLOOKUP(Transactions[[#This Row],[Sub-category]], [1]!TblDV[Sub-category],[1]!TblDV[Category],"")</f>
        <v>Living Expenses</v>
      </c>
      <c r="H170" s="33" t="str">
        <f>_xlfn.XLOOKUP(Transactions[[#This Row],[Sub-category]], [1]!TblDV[Sub-category],[1]!TblDV[Category Type],"")</f>
        <v>Expense</v>
      </c>
      <c r="I170" s="34" t="s">
        <v>76</v>
      </c>
    </row>
    <row r="171" spans="1:9" x14ac:dyDescent="0.35">
      <c r="A171" t="s">
        <v>5</v>
      </c>
      <c r="B171" s="30">
        <v>44303</v>
      </c>
      <c r="C171" s="48">
        <v>47.9</v>
      </c>
      <c r="D171" s="48"/>
      <c r="E171" s="51">
        <f t="shared" si="2"/>
        <v>-47.9</v>
      </c>
      <c r="F171" s="33" t="s">
        <v>22</v>
      </c>
      <c r="G171" s="33" t="str">
        <f>_xlfn.XLOOKUP(Transactions[[#This Row],[Sub-category]], [1]!TblDV[Sub-category],[1]!TblDV[Category],"")</f>
        <v>Discretionary</v>
      </c>
      <c r="H171" s="33" t="str">
        <f>_xlfn.XLOOKUP(Transactions[[#This Row],[Sub-category]], [1]!TblDV[Sub-category],[1]!TblDV[Category Type],"")</f>
        <v>Expense</v>
      </c>
      <c r="I171" s="34" t="s">
        <v>77</v>
      </c>
    </row>
    <row r="172" spans="1:9" x14ac:dyDescent="0.35">
      <c r="A172" t="s">
        <v>5</v>
      </c>
      <c r="B172" s="30">
        <v>44303</v>
      </c>
      <c r="C172" s="48">
        <v>35</v>
      </c>
      <c r="D172" s="48"/>
      <c r="E172" s="51">
        <f t="shared" si="2"/>
        <v>-35</v>
      </c>
      <c r="F172" s="33" t="s">
        <v>15</v>
      </c>
      <c r="G172" s="33" t="str">
        <f>_xlfn.XLOOKUP(Transactions[[#This Row],[Sub-category]], [1]!TblDV[Sub-category],[1]!TblDV[Category],"")</f>
        <v>Discretionary</v>
      </c>
      <c r="H172" s="33" t="str">
        <f>_xlfn.XLOOKUP(Transactions[[#This Row],[Sub-category]], [1]!TblDV[Sub-category],[1]!TblDV[Category Type],"")</f>
        <v>Expense</v>
      </c>
      <c r="I172" s="34" t="s">
        <v>78</v>
      </c>
    </row>
    <row r="173" spans="1:9" x14ac:dyDescent="0.35">
      <c r="A173" t="s">
        <v>5</v>
      </c>
      <c r="B173" s="30">
        <v>44303</v>
      </c>
      <c r="C173" s="48">
        <v>5</v>
      </c>
      <c r="D173" s="48"/>
      <c r="E173" s="51">
        <f t="shared" si="2"/>
        <v>-5</v>
      </c>
      <c r="F173" s="33" t="s">
        <v>63</v>
      </c>
      <c r="G173" s="33" t="str">
        <f>_xlfn.XLOOKUP(Transactions[[#This Row],[Sub-category]], [1]!TblDV[Sub-category],[1]!TblDV[Category],"")</f>
        <v>Dining Out</v>
      </c>
      <c r="H173" s="33" t="str">
        <f>_xlfn.XLOOKUP(Transactions[[#This Row],[Sub-category]], [1]!TblDV[Sub-category],[1]!TblDV[Category Type],"")</f>
        <v>Expense</v>
      </c>
      <c r="I173" s="34" t="s">
        <v>62</v>
      </c>
    </row>
    <row r="174" spans="1:9" x14ac:dyDescent="0.35">
      <c r="A174" t="s">
        <v>5</v>
      </c>
      <c r="B174" s="30">
        <v>44304</v>
      </c>
      <c r="C174" s="48">
        <v>5</v>
      </c>
      <c r="D174" s="48"/>
      <c r="E174" s="51">
        <f t="shared" si="2"/>
        <v>-5</v>
      </c>
      <c r="F174" s="33" t="s">
        <v>63</v>
      </c>
      <c r="G174" s="33" t="str">
        <f>_xlfn.XLOOKUP(Transactions[[#This Row],[Sub-category]], [1]!TblDV[Sub-category],[1]!TblDV[Category],"")</f>
        <v>Dining Out</v>
      </c>
      <c r="H174" s="33" t="str">
        <f>_xlfn.XLOOKUP(Transactions[[#This Row],[Sub-category]], [1]!TblDV[Sub-category],[1]!TblDV[Category Type],"")</f>
        <v>Expense</v>
      </c>
      <c r="I174" s="34" t="s">
        <v>62</v>
      </c>
    </row>
    <row r="175" spans="1:9" x14ac:dyDescent="0.35">
      <c r="A175" t="s">
        <v>5</v>
      </c>
      <c r="B175" s="30">
        <v>44305</v>
      </c>
      <c r="C175" s="48">
        <v>5</v>
      </c>
      <c r="D175" s="48"/>
      <c r="E175" s="51">
        <f t="shared" si="2"/>
        <v>-5</v>
      </c>
      <c r="F175" s="33" t="s">
        <v>63</v>
      </c>
      <c r="G175" s="33" t="str">
        <f>_xlfn.XLOOKUP(Transactions[[#This Row],[Sub-category]], [1]!TblDV[Sub-category],[1]!TblDV[Category],"")</f>
        <v>Dining Out</v>
      </c>
      <c r="H175" s="33" t="str">
        <f>_xlfn.XLOOKUP(Transactions[[#This Row],[Sub-category]], [1]!TblDV[Sub-category],[1]!TblDV[Category Type],"")</f>
        <v>Expense</v>
      </c>
      <c r="I175" s="34" t="s">
        <v>62</v>
      </c>
    </row>
    <row r="176" spans="1:9" x14ac:dyDescent="0.35">
      <c r="A176" t="s">
        <v>5</v>
      </c>
      <c r="B176" s="30">
        <v>44305</v>
      </c>
      <c r="C176" s="48">
        <v>173</v>
      </c>
      <c r="D176" s="48"/>
      <c r="E176" s="51">
        <f t="shared" si="2"/>
        <v>-173</v>
      </c>
      <c r="F176" s="33" t="s">
        <v>14</v>
      </c>
      <c r="G176" s="33" t="str">
        <f>_xlfn.XLOOKUP(Transactions[[#This Row],[Sub-category]], [1]!TblDV[Sub-category],[1]!TblDV[Category],"")</f>
        <v>Living Expenses</v>
      </c>
      <c r="H176" s="33" t="str">
        <f>_xlfn.XLOOKUP(Transactions[[#This Row],[Sub-category]], [1]!TblDV[Sub-category],[1]!TblDV[Category Type],"")</f>
        <v>Expense</v>
      </c>
      <c r="I176" s="34" t="s">
        <v>66</v>
      </c>
    </row>
    <row r="177" spans="1:9" x14ac:dyDescent="0.35">
      <c r="A177" t="s">
        <v>5</v>
      </c>
      <c r="B177" s="30">
        <v>44306</v>
      </c>
      <c r="C177" s="48">
        <v>40.1</v>
      </c>
      <c r="D177" s="48"/>
      <c r="E177" s="51">
        <f t="shared" si="2"/>
        <v>-40.1</v>
      </c>
      <c r="F177" s="33" t="s">
        <v>72</v>
      </c>
      <c r="G177" s="33" t="str">
        <f>_xlfn.XLOOKUP(Transactions[[#This Row],[Sub-category]], [1]!TblDV[Sub-category],[1]!TblDV[Category],"")</f>
        <v>Dining Out</v>
      </c>
      <c r="H177" s="33" t="str">
        <f>_xlfn.XLOOKUP(Transactions[[#This Row],[Sub-category]], [1]!TblDV[Sub-category],[1]!TblDV[Category Type],"")</f>
        <v>Expense</v>
      </c>
      <c r="I177" s="34" t="s">
        <v>79</v>
      </c>
    </row>
    <row r="178" spans="1:9" x14ac:dyDescent="0.35">
      <c r="A178" t="s">
        <v>5</v>
      </c>
      <c r="B178" s="30">
        <v>44307</v>
      </c>
      <c r="C178" s="48">
        <v>15.1</v>
      </c>
      <c r="D178" s="48"/>
      <c r="E178" s="51">
        <f t="shared" si="2"/>
        <v>-15.1</v>
      </c>
      <c r="F178" s="33" t="s">
        <v>72</v>
      </c>
      <c r="G178" s="33" t="str">
        <f>_xlfn.XLOOKUP(Transactions[[#This Row],[Sub-category]], [1]!TblDV[Sub-category],[1]!TblDV[Category],"")</f>
        <v>Dining Out</v>
      </c>
      <c r="H178" s="33" t="str">
        <f>_xlfn.XLOOKUP(Transactions[[#This Row],[Sub-category]], [1]!TblDV[Sub-category],[1]!TblDV[Category Type],"")</f>
        <v>Expense</v>
      </c>
      <c r="I178" s="34" t="s">
        <v>80</v>
      </c>
    </row>
    <row r="179" spans="1:9" x14ac:dyDescent="0.35">
      <c r="A179" t="s">
        <v>9</v>
      </c>
      <c r="B179" s="30">
        <v>44308</v>
      </c>
      <c r="C179" s="48">
        <v>55</v>
      </c>
      <c r="D179" s="48"/>
      <c r="E179" s="51">
        <f t="shared" si="2"/>
        <v>-55</v>
      </c>
      <c r="F179" s="33" t="s">
        <v>23</v>
      </c>
      <c r="G179" s="33" t="str">
        <f>_xlfn.XLOOKUP(Transactions[[#This Row],[Sub-category]], [1]!TblDV[Sub-category],[1]!TblDV[Category],"")</f>
        <v>Charity</v>
      </c>
      <c r="H179" s="33" t="str">
        <f>_xlfn.XLOOKUP(Transactions[[#This Row],[Sub-category]], [1]!TblDV[Sub-category],[1]!TblDV[Category Type],"")</f>
        <v>Expense</v>
      </c>
      <c r="I179" s="34" t="s">
        <v>81</v>
      </c>
    </row>
    <row r="180" spans="1:9" x14ac:dyDescent="0.35">
      <c r="A180" t="s">
        <v>5</v>
      </c>
      <c r="B180" s="30">
        <v>44308</v>
      </c>
      <c r="C180" s="48">
        <v>66</v>
      </c>
      <c r="D180" s="48"/>
      <c r="E180" s="51">
        <f t="shared" si="2"/>
        <v>-66</v>
      </c>
      <c r="F180" s="33" t="s">
        <v>13</v>
      </c>
      <c r="G180" s="33" t="str">
        <f>_xlfn.XLOOKUP(Transactions[[#This Row],[Sub-category]], [1]!TblDV[Sub-category],[1]!TblDV[Category],"")</f>
        <v>Transport</v>
      </c>
      <c r="H180" s="33" t="str">
        <f>_xlfn.XLOOKUP(Transactions[[#This Row],[Sub-category]], [1]!TblDV[Sub-category],[1]!TblDV[Category Type],"")</f>
        <v>Expense</v>
      </c>
      <c r="I180" s="34" t="s">
        <v>68</v>
      </c>
    </row>
    <row r="181" spans="1:9" x14ac:dyDescent="0.35">
      <c r="A181" t="s">
        <v>5</v>
      </c>
      <c r="B181" s="30">
        <v>44308</v>
      </c>
      <c r="C181" s="48">
        <v>5</v>
      </c>
      <c r="D181" s="48"/>
      <c r="E181" s="51">
        <f t="shared" si="2"/>
        <v>-5</v>
      </c>
      <c r="F181" s="33" t="s">
        <v>63</v>
      </c>
      <c r="G181" s="33" t="str">
        <f>_xlfn.XLOOKUP(Transactions[[#This Row],[Sub-category]], [1]!TblDV[Sub-category],[1]!TblDV[Category],"")</f>
        <v>Dining Out</v>
      </c>
      <c r="H181" s="33" t="str">
        <f>_xlfn.XLOOKUP(Transactions[[#This Row],[Sub-category]], [1]!TblDV[Sub-category],[1]!TblDV[Category Type],"")</f>
        <v>Expense</v>
      </c>
      <c r="I181" s="34" t="s">
        <v>62</v>
      </c>
    </row>
    <row r="182" spans="1:9" x14ac:dyDescent="0.35">
      <c r="A182" t="s">
        <v>5</v>
      </c>
      <c r="B182" s="30">
        <v>44309</v>
      </c>
      <c r="C182" s="48">
        <v>5</v>
      </c>
      <c r="D182" s="48"/>
      <c r="E182" s="51">
        <f t="shared" si="2"/>
        <v>-5</v>
      </c>
      <c r="F182" s="33" t="s">
        <v>63</v>
      </c>
      <c r="G182" s="33" t="str">
        <f>_xlfn.XLOOKUP(Transactions[[#This Row],[Sub-category]], [1]!TblDV[Sub-category],[1]!TblDV[Category],"")</f>
        <v>Dining Out</v>
      </c>
      <c r="H182" s="33" t="str">
        <f>_xlfn.XLOOKUP(Transactions[[#This Row],[Sub-category]], [1]!TblDV[Sub-category],[1]!TblDV[Category Type],"")</f>
        <v>Expense</v>
      </c>
      <c r="I182" s="34" t="s">
        <v>62</v>
      </c>
    </row>
    <row r="183" spans="1:9" x14ac:dyDescent="0.35">
      <c r="A183" t="s">
        <v>5</v>
      </c>
      <c r="B183" s="30">
        <v>44310</v>
      </c>
      <c r="C183" s="48">
        <v>5</v>
      </c>
      <c r="D183" s="48"/>
      <c r="E183" s="51">
        <f t="shared" si="2"/>
        <v>-5</v>
      </c>
      <c r="F183" s="33" t="s">
        <v>63</v>
      </c>
      <c r="G183" s="33" t="str">
        <f>_xlfn.XLOOKUP(Transactions[[#This Row],[Sub-category]], [1]!TblDV[Sub-category],[1]!TblDV[Category],"")</f>
        <v>Dining Out</v>
      </c>
      <c r="H183" s="33" t="str">
        <f>_xlfn.XLOOKUP(Transactions[[#This Row],[Sub-category]], [1]!TblDV[Sub-category],[1]!TblDV[Category Type],"")</f>
        <v>Expense</v>
      </c>
      <c r="I183" s="34" t="s">
        <v>62</v>
      </c>
    </row>
    <row r="184" spans="1:9" x14ac:dyDescent="0.35">
      <c r="A184" t="s">
        <v>5</v>
      </c>
      <c r="B184" s="30">
        <v>44311</v>
      </c>
      <c r="C184" s="48">
        <v>5</v>
      </c>
      <c r="D184" s="48"/>
      <c r="E184" s="51">
        <f t="shared" si="2"/>
        <v>-5</v>
      </c>
      <c r="F184" s="33" t="s">
        <v>63</v>
      </c>
      <c r="G184" s="33" t="str">
        <f>_xlfn.XLOOKUP(Transactions[[#This Row],[Sub-category]], [1]!TblDV[Sub-category],[1]!TblDV[Category],"")</f>
        <v>Dining Out</v>
      </c>
      <c r="H184" s="33" t="str">
        <f>_xlfn.XLOOKUP(Transactions[[#This Row],[Sub-category]], [1]!TblDV[Sub-category],[1]!TblDV[Category Type],"")</f>
        <v>Expense</v>
      </c>
      <c r="I184" s="34" t="s">
        <v>62</v>
      </c>
    </row>
    <row r="185" spans="1:9" x14ac:dyDescent="0.35">
      <c r="A185" t="s">
        <v>5</v>
      </c>
      <c r="B185" s="30">
        <v>44312</v>
      </c>
      <c r="C185" s="48">
        <v>5</v>
      </c>
      <c r="D185" s="48"/>
      <c r="E185" s="51">
        <f t="shared" si="2"/>
        <v>-5</v>
      </c>
      <c r="F185" s="33" t="s">
        <v>63</v>
      </c>
      <c r="G185" s="33" t="str">
        <f>_xlfn.XLOOKUP(Transactions[[#This Row],[Sub-category]], [1]!TblDV[Sub-category],[1]!TblDV[Category],"")</f>
        <v>Dining Out</v>
      </c>
      <c r="H185" s="33" t="str">
        <f>_xlfn.XLOOKUP(Transactions[[#This Row],[Sub-category]], [1]!TblDV[Sub-category],[1]!TblDV[Category Type],"")</f>
        <v>Expense</v>
      </c>
      <c r="I185" s="34" t="s">
        <v>62</v>
      </c>
    </row>
    <row r="186" spans="1:9" x14ac:dyDescent="0.35">
      <c r="A186" t="s">
        <v>5</v>
      </c>
      <c r="B186" s="30">
        <v>44312</v>
      </c>
      <c r="C186" s="48">
        <v>164.9</v>
      </c>
      <c r="D186" s="48"/>
      <c r="E186" s="51">
        <f t="shared" si="2"/>
        <v>-164.9</v>
      </c>
      <c r="F186" s="33" t="s">
        <v>14</v>
      </c>
      <c r="G186" s="33" t="str">
        <f>_xlfn.XLOOKUP(Transactions[[#This Row],[Sub-category]], [1]!TblDV[Sub-category],[1]!TblDV[Category],"")</f>
        <v>Living Expenses</v>
      </c>
      <c r="H186" s="33" t="str">
        <f>_xlfn.XLOOKUP(Transactions[[#This Row],[Sub-category]], [1]!TblDV[Sub-category],[1]!TblDV[Category Type],"")</f>
        <v>Expense</v>
      </c>
      <c r="I186" s="34" t="s">
        <v>66</v>
      </c>
    </row>
    <row r="187" spans="1:9" x14ac:dyDescent="0.35">
      <c r="A187" t="s">
        <v>5</v>
      </c>
      <c r="B187" s="30">
        <v>44313</v>
      </c>
      <c r="C187" s="48">
        <v>127.9</v>
      </c>
      <c r="D187" s="48"/>
      <c r="E187" s="51">
        <f t="shared" si="2"/>
        <v>-127.9</v>
      </c>
      <c r="F187" s="33" t="s">
        <v>16</v>
      </c>
      <c r="G187" s="33" t="str">
        <f>_xlfn.XLOOKUP(Transactions[[#This Row],[Sub-category]], [1]!TblDV[Sub-category],[1]!TblDV[Category],"")</f>
        <v>Discretionary</v>
      </c>
      <c r="H187" s="33" t="str">
        <f>_xlfn.XLOOKUP(Transactions[[#This Row],[Sub-category]], [1]!TblDV[Sub-category],[1]!TblDV[Category Type],"")</f>
        <v>Expense</v>
      </c>
      <c r="I187" s="34" t="s">
        <v>82</v>
      </c>
    </row>
    <row r="188" spans="1:9" x14ac:dyDescent="0.35">
      <c r="A188" t="s">
        <v>5</v>
      </c>
      <c r="B188" s="30">
        <v>44313</v>
      </c>
      <c r="C188" s="48">
        <v>300</v>
      </c>
      <c r="D188" s="48"/>
      <c r="E188" s="51">
        <f t="shared" si="2"/>
        <v>-300</v>
      </c>
      <c r="F188" s="33" t="s">
        <v>15</v>
      </c>
      <c r="G188" s="33" t="str">
        <f>_xlfn.XLOOKUP(Transactions[[#This Row],[Sub-category]], [1]!TblDV[Sub-category],[1]!TblDV[Category],"")</f>
        <v>Discretionary</v>
      </c>
      <c r="H188" s="33" t="str">
        <f>_xlfn.XLOOKUP(Transactions[[#This Row],[Sub-category]], [1]!TblDV[Sub-category],[1]!TblDV[Category Type],"")</f>
        <v>Expense</v>
      </c>
      <c r="I188" s="34" t="s">
        <v>88</v>
      </c>
    </row>
    <row r="189" spans="1:9" x14ac:dyDescent="0.35">
      <c r="A189" t="s">
        <v>5</v>
      </c>
      <c r="B189" s="30">
        <v>44314</v>
      </c>
      <c r="C189" s="48">
        <v>148.1</v>
      </c>
      <c r="D189" s="48"/>
      <c r="E189" s="51">
        <f t="shared" si="2"/>
        <v>-148.1</v>
      </c>
      <c r="F189" s="33" t="s">
        <v>16</v>
      </c>
      <c r="G189" s="33" t="str">
        <f>_xlfn.XLOOKUP(Transactions[[#This Row],[Sub-category]], [1]!TblDV[Sub-category],[1]!TblDV[Category],"")</f>
        <v>Discretionary</v>
      </c>
      <c r="H189" s="33" t="str">
        <f>_xlfn.XLOOKUP(Transactions[[#This Row],[Sub-category]], [1]!TblDV[Sub-category],[1]!TblDV[Category Type],"")</f>
        <v>Expense</v>
      </c>
      <c r="I189" s="34" t="s">
        <v>70</v>
      </c>
    </row>
    <row r="190" spans="1:9" x14ac:dyDescent="0.35">
      <c r="A190" t="s">
        <v>5</v>
      </c>
      <c r="B190" s="30">
        <v>44314</v>
      </c>
      <c r="C190" s="48">
        <v>26.1</v>
      </c>
      <c r="D190" s="48"/>
      <c r="E190" s="51">
        <f t="shared" si="2"/>
        <v>-26.1</v>
      </c>
      <c r="F190" s="33" t="s">
        <v>27</v>
      </c>
      <c r="G190" s="33" t="str">
        <f>_xlfn.XLOOKUP(Transactions[[#This Row],[Sub-category]], [1]!TblDV[Sub-category],[1]!TblDV[Category],"")</f>
        <v>Transport</v>
      </c>
      <c r="H190" s="33" t="str">
        <f>_xlfn.XLOOKUP(Transactions[[#This Row],[Sub-category]], [1]!TblDV[Sub-category],[1]!TblDV[Category Type],"")</f>
        <v>Expense</v>
      </c>
      <c r="I190" s="34" t="s">
        <v>73</v>
      </c>
    </row>
    <row r="191" spans="1:9" x14ac:dyDescent="0.35">
      <c r="A191" t="s">
        <v>5</v>
      </c>
      <c r="B191" s="30">
        <v>44315</v>
      </c>
      <c r="C191" s="48">
        <v>15</v>
      </c>
      <c r="D191" s="48"/>
      <c r="E191" s="51">
        <f t="shared" si="2"/>
        <v>-15</v>
      </c>
      <c r="F191" s="33" t="s">
        <v>72</v>
      </c>
      <c r="G191" s="33" t="str">
        <f>_xlfn.XLOOKUP(Transactions[[#This Row],[Sub-category]], [1]!TblDV[Sub-category],[1]!TblDV[Category],"")</f>
        <v>Dining Out</v>
      </c>
      <c r="H191" s="33" t="str">
        <f>_xlfn.XLOOKUP(Transactions[[#This Row],[Sub-category]], [1]!TblDV[Sub-category],[1]!TblDV[Category Type],"")</f>
        <v>Expense</v>
      </c>
      <c r="I191" s="34" t="s">
        <v>87</v>
      </c>
    </row>
    <row r="192" spans="1:9" x14ac:dyDescent="0.35">
      <c r="A192" t="s">
        <v>5</v>
      </c>
      <c r="B192" s="30">
        <v>44315</v>
      </c>
      <c r="C192" s="48">
        <v>5</v>
      </c>
      <c r="D192" s="48"/>
      <c r="E192" s="51">
        <f t="shared" si="2"/>
        <v>-5</v>
      </c>
      <c r="F192" s="33" t="s">
        <v>63</v>
      </c>
      <c r="G192" s="33" t="str">
        <f>_xlfn.XLOOKUP(Transactions[[#This Row],[Sub-category]], [1]!TblDV[Sub-category],[1]!TblDV[Category],"")</f>
        <v>Dining Out</v>
      </c>
      <c r="H192" s="33" t="str">
        <f>_xlfn.XLOOKUP(Transactions[[#This Row],[Sub-category]], [1]!TblDV[Sub-category],[1]!TblDV[Category Type],"")</f>
        <v>Expense</v>
      </c>
      <c r="I192" s="34" t="s">
        <v>62</v>
      </c>
    </row>
    <row r="193" spans="1:9" x14ac:dyDescent="0.35">
      <c r="A193" t="s">
        <v>5</v>
      </c>
      <c r="B193" s="30">
        <v>44316</v>
      </c>
      <c r="C193" s="48">
        <v>5</v>
      </c>
      <c r="D193" s="48"/>
      <c r="E193" s="51">
        <f t="shared" si="2"/>
        <v>-5</v>
      </c>
      <c r="F193" s="33" t="s">
        <v>63</v>
      </c>
      <c r="G193" s="33" t="str">
        <f>_xlfn.XLOOKUP(Transactions[[#This Row],[Sub-category]], [1]!TblDV[Sub-category],[1]!TblDV[Category],"")</f>
        <v>Dining Out</v>
      </c>
      <c r="H193" s="33" t="str">
        <f>_xlfn.XLOOKUP(Transactions[[#This Row],[Sub-category]], [1]!TblDV[Sub-category],[1]!TblDV[Category Type],"")</f>
        <v>Expense</v>
      </c>
      <c r="I193" s="34" t="s">
        <v>62</v>
      </c>
    </row>
    <row r="194" spans="1:9" x14ac:dyDescent="0.35">
      <c r="A194" t="s">
        <v>5</v>
      </c>
      <c r="B194" s="30">
        <v>44318</v>
      </c>
      <c r="C194" s="48">
        <v>5</v>
      </c>
      <c r="D194" s="48"/>
      <c r="E194" s="51">
        <f t="shared" ref="E194:E257" si="3">D194-C194</f>
        <v>-5</v>
      </c>
      <c r="F194" s="33" t="s">
        <v>63</v>
      </c>
      <c r="G194" s="33" t="str">
        <f>_xlfn.XLOOKUP(Transactions[[#This Row],[Sub-category]], [1]!TblDV[Sub-category],[1]!TblDV[Category],"")</f>
        <v>Dining Out</v>
      </c>
      <c r="H194" s="33" t="str">
        <f>_xlfn.XLOOKUP(Transactions[[#This Row],[Sub-category]], [1]!TblDV[Sub-category],[1]!TblDV[Category Type],"")</f>
        <v>Expense</v>
      </c>
      <c r="I194" s="34" t="s">
        <v>62</v>
      </c>
    </row>
    <row r="195" spans="1:9" x14ac:dyDescent="0.35">
      <c r="A195" t="s">
        <v>9</v>
      </c>
      <c r="B195" s="30">
        <v>44319</v>
      </c>
      <c r="C195" s="48"/>
      <c r="D195" s="48">
        <v>4000</v>
      </c>
      <c r="E195" s="51">
        <f t="shared" si="3"/>
        <v>4000</v>
      </c>
      <c r="F195" s="33" t="s">
        <v>7</v>
      </c>
      <c r="G195" s="33" t="str">
        <f>_xlfn.XLOOKUP(Transactions[[#This Row],[Sub-category]], [1]!TblDV[Sub-category],[1]!TblDV[Category],"")</f>
        <v>Salary</v>
      </c>
      <c r="H195" s="33" t="str">
        <f>_xlfn.XLOOKUP(Transactions[[#This Row],[Sub-category]], [1]!TblDV[Sub-category],[1]!TblDV[Category Type],"")</f>
        <v>Income</v>
      </c>
      <c r="I195" s="34" t="s">
        <v>61</v>
      </c>
    </row>
    <row r="196" spans="1:9" x14ac:dyDescent="0.35">
      <c r="A196" t="s">
        <v>9</v>
      </c>
      <c r="B196" s="30">
        <v>44319</v>
      </c>
      <c r="C196" s="48">
        <v>900</v>
      </c>
      <c r="D196" s="48"/>
      <c r="E196" s="51">
        <f t="shared" si="3"/>
        <v>-900</v>
      </c>
      <c r="F196" s="33" t="s">
        <v>10</v>
      </c>
      <c r="G196" s="33" t="str">
        <f>_xlfn.XLOOKUP(Transactions[[#This Row],[Sub-category]], [1]!TblDV[Sub-category],[1]!TblDV[Category],"")</f>
        <v>Living Expenses</v>
      </c>
      <c r="H196" s="33" t="str">
        <f>_xlfn.XLOOKUP(Transactions[[#This Row],[Sub-category]], [1]!TblDV[Sub-category],[1]!TblDV[Category Type],"")</f>
        <v>Expense</v>
      </c>
      <c r="I196" s="34" t="s">
        <v>64</v>
      </c>
    </row>
    <row r="197" spans="1:9" x14ac:dyDescent="0.35">
      <c r="A197" t="s">
        <v>9</v>
      </c>
      <c r="B197" s="30">
        <v>44319</v>
      </c>
      <c r="C197" s="48">
        <v>150</v>
      </c>
      <c r="D197" s="48"/>
      <c r="E197" s="51">
        <f t="shared" si="3"/>
        <v>-150</v>
      </c>
      <c r="F197" s="33" t="s">
        <v>29</v>
      </c>
      <c r="G197" s="33" t="str">
        <f>_xlfn.XLOOKUP(Transactions[[#This Row],[Sub-category]], [1]!TblDV[Sub-category],[1]!TblDV[Category],"")</f>
        <v>Transport</v>
      </c>
      <c r="H197" s="33" t="str">
        <f>_xlfn.XLOOKUP(Transactions[[#This Row],[Sub-category]], [1]!TblDV[Sub-category],[1]!TblDV[Category Type],"")</f>
        <v>Expense</v>
      </c>
      <c r="I197" s="34" t="s">
        <v>65</v>
      </c>
    </row>
    <row r="198" spans="1:9" x14ac:dyDescent="0.35">
      <c r="A198" t="s">
        <v>5</v>
      </c>
      <c r="B198" s="30">
        <v>44319</v>
      </c>
      <c r="C198" s="48">
        <v>5</v>
      </c>
      <c r="D198" s="48"/>
      <c r="E198" s="51">
        <f t="shared" si="3"/>
        <v>-5</v>
      </c>
      <c r="F198" s="33" t="s">
        <v>63</v>
      </c>
      <c r="G198" s="33" t="str">
        <f>_xlfn.XLOOKUP(Transactions[[#This Row],[Sub-category]], [1]!TblDV[Sub-category],[1]!TblDV[Category],"")</f>
        <v>Dining Out</v>
      </c>
      <c r="H198" s="33" t="str">
        <f>_xlfn.XLOOKUP(Transactions[[#This Row],[Sub-category]], [1]!TblDV[Sub-category],[1]!TblDV[Category Type],"")</f>
        <v>Expense</v>
      </c>
      <c r="I198" s="34" t="s">
        <v>62</v>
      </c>
    </row>
    <row r="199" spans="1:9" x14ac:dyDescent="0.35">
      <c r="A199" t="s">
        <v>5</v>
      </c>
      <c r="B199" s="30">
        <v>44320</v>
      </c>
      <c r="C199" s="48">
        <v>5</v>
      </c>
      <c r="D199" s="48"/>
      <c r="E199" s="51">
        <f t="shared" si="3"/>
        <v>-5</v>
      </c>
      <c r="F199" s="33" t="s">
        <v>63</v>
      </c>
      <c r="G199" s="33" t="str">
        <f>_xlfn.XLOOKUP(Transactions[[#This Row],[Sub-category]], [1]!TblDV[Sub-category],[1]!TblDV[Category],"")</f>
        <v>Dining Out</v>
      </c>
      <c r="H199" s="33" t="str">
        <f>_xlfn.XLOOKUP(Transactions[[#This Row],[Sub-category]], [1]!TblDV[Sub-category],[1]!TblDV[Category Type],"")</f>
        <v>Expense</v>
      </c>
      <c r="I199" s="34" t="s">
        <v>62</v>
      </c>
    </row>
    <row r="200" spans="1:9" x14ac:dyDescent="0.35">
      <c r="A200" t="s">
        <v>5</v>
      </c>
      <c r="B200" s="30">
        <v>44321</v>
      </c>
      <c r="C200" s="48">
        <v>5</v>
      </c>
      <c r="D200" s="48"/>
      <c r="E200" s="51">
        <f t="shared" si="3"/>
        <v>-5</v>
      </c>
      <c r="F200" s="33" t="s">
        <v>63</v>
      </c>
      <c r="G200" s="33" t="str">
        <f>_xlfn.XLOOKUP(Transactions[[#This Row],[Sub-category]], [1]!TblDV[Sub-category],[1]!TblDV[Category],"")</f>
        <v>Dining Out</v>
      </c>
      <c r="H200" s="33" t="str">
        <f>_xlfn.XLOOKUP(Transactions[[#This Row],[Sub-category]], [1]!TblDV[Sub-category],[1]!TblDV[Category Type],"")</f>
        <v>Expense</v>
      </c>
      <c r="I200" s="34" t="s">
        <v>62</v>
      </c>
    </row>
    <row r="201" spans="1:9" x14ac:dyDescent="0.35">
      <c r="A201" t="s">
        <v>5</v>
      </c>
      <c r="B201" s="30">
        <v>44322</v>
      </c>
      <c r="C201" s="48">
        <v>5</v>
      </c>
      <c r="D201" s="48"/>
      <c r="E201" s="51">
        <f t="shared" si="3"/>
        <v>-5</v>
      </c>
      <c r="F201" s="33" t="s">
        <v>63</v>
      </c>
      <c r="G201" s="33" t="str">
        <f>_xlfn.XLOOKUP(Transactions[[#This Row],[Sub-category]], [1]!TblDV[Sub-category],[1]!TblDV[Category],"")</f>
        <v>Dining Out</v>
      </c>
      <c r="H201" s="33" t="str">
        <f>_xlfn.XLOOKUP(Transactions[[#This Row],[Sub-category]], [1]!TblDV[Sub-category],[1]!TblDV[Category Type],"")</f>
        <v>Expense</v>
      </c>
      <c r="I201" s="34" t="s">
        <v>62</v>
      </c>
    </row>
    <row r="202" spans="1:9" x14ac:dyDescent="0.35">
      <c r="A202" t="s">
        <v>5</v>
      </c>
      <c r="B202" s="30">
        <v>44322</v>
      </c>
      <c r="C202" s="48">
        <v>170</v>
      </c>
      <c r="D202" s="48"/>
      <c r="E202" s="51">
        <f t="shared" si="3"/>
        <v>-170</v>
      </c>
      <c r="F202" s="33" t="s">
        <v>14</v>
      </c>
      <c r="G202" s="33" t="str">
        <f>_xlfn.XLOOKUP(Transactions[[#This Row],[Sub-category]], [1]!TblDV[Sub-category],[1]!TblDV[Category],"")</f>
        <v>Living Expenses</v>
      </c>
      <c r="H202" s="33" t="str">
        <f>_xlfn.XLOOKUP(Transactions[[#This Row],[Sub-category]], [1]!TblDV[Sub-category],[1]!TblDV[Category Type],"")</f>
        <v>Expense</v>
      </c>
      <c r="I202" s="34" t="s">
        <v>66</v>
      </c>
    </row>
    <row r="203" spans="1:9" x14ac:dyDescent="0.35">
      <c r="A203" t="s">
        <v>9</v>
      </c>
      <c r="B203" s="30">
        <v>44325</v>
      </c>
      <c r="C203" s="48">
        <v>54.1</v>
      </c>
      <c r="D203" s="48"/>
      <c r="E203" s="51">
        <f t="shared" si="3"/>
        <v>-54.1</v>
      </c>
      <c r="F203" s="33" t="s">
        <v>12</v>
      </c>
      <c r="G203" s="33" t="str">
        <f>_xlfn.XLOOKUP(Transactions[[#This Row],[Sub-category]], [1]!TblDV[Sub-category],[1]!TblDV[Category],"")</f>
        <v>Living Expenses</v>
      </c>
      <c r="H203" s="33" t="str">
        <f>_xlfn.XLOOKUP(Transactions[[#This Row],[Sub-category]], [1]!TblDV[Sub-category],[1]!TblDV[Category Type],"")</f>
        <v>Expense</v>
      </c>
      <c r="I203" s="34" t="s">
        <v>67</v>
      </c>
    </row>
    <row r="204" spans="1:9" x14ac:dyDescent="0.35">
      <c r="A204" t="s">
        <v>5</v>
      </c>
      <c r="B204" s="30">
        <v>44325</v>
      </c>
      <c r="C204" s="48">
        <v>5</v>
      </c>
      <c r="D204" s="48"/>
      <c r="E204" s="51">
        <f t="shared" si="3"/>
        <v>-5</v>
      </c>
      <c r="F204" s="33" t="s">
        <v>63</v>
      </c>
      <c r="G204" s="33" t="str">
        <f>_xlfn.XLOOKUP(Transactions[[#This Row],[Sub-category]], [1]!TblDV[Sub-category],[1]!TblDV[Category],"")</f>
        <v>Dining Out</v>
      </c>
      <c r="H204" s="33" t="str">
        <f>_xlfn.XLOOKUP(Transactions[[#This Row],[Sub-category]], [1]!TblDV[Sub-category],[1]!TblDV[Category Type],"")</f>
        <v>Expense</v>
      </c>
      <c r="I204" s="34" t="s">
        <v>62</v>
      </c>
    </row>
    <row r="205" spans="1:9" x14ac:dyDescent="0.35">
      <c r="A205" t="s">
        <v>5</v>
      </c>
      <c r="B205" s="30">
        <v>44326</v>
      </c>
      <c r="C205" s="48">
        <v>5</v>
      </c>
      <c r="D205" s="48"/>
      <c r="E205" s="51">
        <f t="shared" si="3"/>
        <v>-5</v>
      </c>
      <c r="F205" s="33" t="s">
        <v>63</v>
      </c>
      <c r="G205" s="33" t="str">
        <f>_xlfn.XLOOKUP(Transactions[[#This Row],[Sub-category]], [1]!TblDV[Sub-category],[1]!TblDV[Category],"")</f>
        <v>Dining Out</v>
      </c>
      <c r="H205" s="33" t="str">
        <f>_xlfn.XLOOKUP(Transactions[[#This Row],[Sub-category]], [1]!TblDV[Sub-category],[1]!TblDV[Category Type],"")</f>
        <v>Expense</v>
      </c>
      <c r="I205" s="34" t="s">
        <v>62</v>
      </c>
    </row>
    <row r="206" spans="1:9" x14ac:dyDescent="0.35">
      <c r="A206" t="s">
        <v>5</v>
      </c>
      <c r="B206" s="30">
        <v>44327</v>
      </c>
      <c r="C206" s="48">
        <v>81</v>
      </c>
      <c r="D206" s="48"/>
      <c r="E206" s="51">
        <f t="shared" si="3"/>
        <v>-81</v>
      </c>
      <c r="F206" s="33" t="s">
        <v>13</v>
      </c>
      <c r="G206" s="33" t="str">
        <f>_xlfn.XLOOKUP(Transactions[[#This Row],[Sub-category]], [1]!TblDV[Sub-category],[1]!TblDV[Category],"")</f>
        <v>Transport</v>
      </c>
      <c r="H206" s="33" t="str">
        <f>_xlfn.XLOOKUP(Transactions[[#This Row],[Sub-category]], [1]!TblDV[Sub-category],[1]!TblDV[Category Type],"")</f>
        <v>Expense</v>
      </c>
      <c r="I206" s="34" t="s">
        <v>68</v>
      </c>
    </row>
    <row r="207" spans="1:9" x14ac:dyDescent="0.35">
      <c r="A207" t="s">
        <v>5</v>
      </c>
      <c r="B207" s="30">
        <v>44327</v>
      </c>
      <c r="C207" s="48">
        <v>5</v>
      </c>
      <c r="D207" s="48"/>
      <c r="E207" s="51">
        <f t="shared" si="3"/>
        <v>-5</v>
      </c>
      <c r="F207" s="33" t="s">
        <v>63</v>
      </c>
      <c r="G207" s="33" t="str">
        <f>_xlfn.XLOOKUP(Transactions[[#This Row],[Sub-category]], [1]!TblDV[Sub-category],[1]!TblDV[Category],"")</f>
        <v>Dining Out</v>
      </c>
      <c r="H207" s="33" t="str">
        <f>_xlfn.XLOOKUP(Transactions[[#This Row],[Sub-category]], [1]!TblDV[Sub-category],[1]!TblDV[Category Type],"")</f>
        <v>Expense</v>
      </c>
      <c r="I207" s="34" t="s">
        <v>62</v>
      </c>
    </row>
    <row r="208" spans="1:9" x14ac:dyDescent="0.35">
      <c r="A208" t="s">
        <v>5</v>
      </c>
      <c r="B208" s="30">
        <v>44328</v>
      </c>
      <c r="C208" s="48">
        <v>5</v>
      </c>
      <c r="D208" s="48"/>
      <c r="E208" s="51">
        <f t="shared" si="3"/>
        <v>-5</v>
      </c>
      <c r="F208" s="33" t="s">
        <v>63</v>
      </c>
      <c r="G208" s="33" t="str">
        <f>_xlfn.XLOOKUP(Transactions[[#This Row],[Sub-category]], [1]!TblDV[Sub-category],[1]!TblDV[Category],"")</f>
        <v>Dining Out</v>
      </c>
      <c r="H208" s="33" t="str">
        <f>_xlfn.XLOOKUP(Transactions[[#This Row],[Sub-category]], [1]!TblDV[Sub-category],[1]!TblDV[Category Type],"")</f>
        <v>Expense</v>
      </c>
      <c r="I208" s="34" t="s">
        <v>62</v>
      </c>
    </row>
    <row r="209" spans="1:9" x14ac:dyDescent="0.35">
      <c r="A209" t="s">
        <v>5</v>
      </c>
      <c r="B209" s="30">
        <v>44329</v>
      </c>
      <c r="C209" s="48">
        <v>139.1</v>
      </c>
      <c r="D209" s="48"/>
      <c r="E209" s="51">
        <f t="shared" si="3"/>
        <v>-139.1</v>
      </c>
      <c r="F209" s="33" t="s">
        <v>14</v>
      </c>
      <c r="G209" s="33" t="str">
        <f>_xlfn.XLOOKUP(Transactions[[#This Row],[Sub-category]], [1]!TblDV[Sub-category],[1]!TblDV[Category],"")</f>
        <v>Living Expenses</v>
      </c>
      <c r="H209" s="33" t="str">
        <f>_xlfn.XLOOKUP(Transactions[[#This Row],[Sub-category]], [1]!TblDV[Sub-category],[1]!TblDV[Category Type],"")</f>
        <v>Expense</v>
      </c>
      <c r="I209" s="34" t="s">
        <v>66</v>
      </c>
    </row>
    <row r="210" spans="1:9" x14ac:dyDescent="0.35">
      <c r="A210" t="s">
        <v>5</v>
      </c>
      <c r="B210" s="30">
        <v>44329</v>
      </c>
      <c r="C210" s="48">
        <v>5</v>
      </c>
      <c r="D210" s="48"/>
      <c r="E210" s="51">
        <f t="shared" si="3"/>
        <v>-5</v>
      </c>
      <c r="F210" s="33" t="s">
        <v>63</v>
      </c>
      <c r="G210" s="33" t="str">
        <f>_xlfn.XLOOKUP(Transactions[[#This Row],[Sub-category]], [1]!TblDV[Sub-category],[1]!TblDV[Category],"")</f>
        <v>Dining Out</v>
      </c>
      <c r="H210" s="33" t="str">
        <f>_xlfn.XLOOKUP(Transactions[[#This Row],[Sub-category]], [1]!TblDV[Sub-category],[1]!TblDV[Category Type],"")</f>
        <v>Expense</v>
      </c>
      <c r="I210" s="34" t="s">
        <v>62</v>
      </c>
    </row>
    <row r="211" spans="1:9" x14ac:dyDescent="0.35">
      <c r="A211" t="s">
        <v>5</v>
      </c>
      <c r="B211" s="30">
        <v>44330</v>
      </c>
      <c r="C211" s="48">
        <v>5</v>
      </c>
      <c r="D211" s="48"/>
      <c r="E211" s="51">
        <f t="shared" si="3"/>
        <v>-5</v>
      </c>
      <c r="F211" s="33" t="s">
        <v>63</v>
      </c>
      <c r="G211" s="33" t="str">
        <f>_xlfn.XLOOKUP(Transactions[[#This Row],[Sub-category]], [1]!TblDV[Sub-category],[1]!TblDV[Category],"")</f>
        <v>Dining Out</v>
      </c>
      <c r="H211" s="33" t="str">
        <f>_xlfn.XLOOKUP(Transactions[[#This Row],[Sub-category]], [1]!TblDV[Sub-category],[1]!TblDV[Category Type],"")</f>
        <v>Expense</v>
      </c>
      <c r="I211" s="34" t="s">
        <v>62</v>
      </c>
    </row>
    <row r="212" spans="1:9" x14ac:dyDescent="0.35">
      <c r="A212" t="s">
        <v>5</v>
      </c>
      <c r="B212" s="30">
        <v>44330</v>
      </c>
      <c r="C212" s="48">
        <v>43.9</v>
      </c>
      <c r="D212" s="48"/>
      <c r="E212" s="51">
        <f t="shared" si="3"/>
        <v>-43.9</v>
      </c>
      <c r="F212" s="33" t="s">
        <v>15</v>
      </c>
      <c r="G212" s="33" t="str">
        <f>_xlfn.XLOOKUP(Transactions[[#This Row],[Sub-category]], [1]!TblDV[Sub-category],[1]!TblDV[Category],"")</f>
        <v>Discretionary</v>
      </c>
      <c r="H212" s="33" t="str">
        <f>_xlfn.XLOOKUP(Transactions[[#This Row],[Sub-category]], [1]!TblDV[Sub-category],[1]!TblDV[Category Type],"")</f>
        <v>Expense</v>
      </c>
      <c r="I212" s="34" t="s">
        <v>69</v>
      </c>
    </row>
    <row r="213" spans="1:9" x14ac:dyDescent="0.35">
      <c r="A213" t="s">
        <v>5</v>
      </c>
      <c r="B213" s="30">
        <v>44330</v>
      </c>
      <c r="C213" s="48">
        <v>101.80000000000001</v>
      </c>
      <c r="D213" s="48"/>
      <c r="E213" s="51">
        <f t="shared" si="3"/>
        <v>-101.80000000000001</v>
      </c>
      <c r="F213" s="33" t="s">
        <v>16</v>
      </c>
      <c r="G213" s="33" t="str">
        <f>_xlfn.XLOOKUP(Transactions[[#This Row],[Sub-category]], [1]!TblDV[Sub-category],[1]!TblDV[Category],"")</f>
        <v>Discretionary</v>
      </c>
      <c r="H213" s="33" t="str">
        <f>_xlfn.XLOOKUP(Transactions[[#This Row],[Sub-category]], [1]!TblDV[Sub-category],[1]!TblDV[Category Type],"")</f>
        <v>Expense</v>
      </c>
      <c r="I213" s="34" t="s">
        <v>70</v>
      </c>
    </row>
    <row r="214" spans="1:9" x14ac:dyDescent="0.35">
      <c r="A214" t="s">
        <v>5</v>
      </c>
      <c r="B214" s="30">
        <v>44330</v>
      </c>
      <c r="C214" s="48">
        <v>55.9</v>
      </c>
      <c r="D214" s="48"/>
      <c r="E214" s="51">
        <f t="shared" si="3"/>
        <v>-55.9</v>
      </c>
      <c r="F214" s="33" t="s">
        <v>72</v>
      </c>
      <c r="G214" s="33" t="str">
        <f>_xlfn.XLOOKUP(Transactions[[#This Row],[Sub-category]], [1]!TblDV[Sub-category],[1]!TblDV[Category],"")</f>
        <v>Dining Out</v>
      </c>
      <c r="H214" s="33" t="str">
        <f>_xlfn.XLOOKUP(Transactions[[#This Row],[Sub-category]], [1]!TblDV[Sub-category],[1]!TblDV[Category Type],"")</f>
        <v>Expense</v>
      </c>
      <c r="I214" s="34" t="s">
        <v>71</v>
      </c>
    </row>
    <row r="215" spans="1:9" x14ac:dyDescent="0.35">
      <c r="A215" t="s">
        <v>5</v>
      </c>
      <c r="B215" s="30">
        <v>44331</v>
      </c>
      <c r="C215" s="48">
        <v>32</v>
      </c>
      <c r="D215" s="48"/>
      <c r="E215" s="51">
        <f t="shared" si="3"/>
        <v>-32</v>
      </c>
      <c r="F215" s="33" t="s">
        <v>27</v>
      </c>
      <c r="G215" s="33" t="str">
        <f>_xlfn.XLOOKUP(Transactions[[#This Row],[Sub-category]], [1]!TblDV[Sub-category],[1]!TblDV[Category],"")</f>
        <v>Transport</v>
      </c>
      <c r="H215" s="33" t="str">
        <f>_xlfn.XLOOKUP(Transactions[[#This Row],[Sub-category]], [1]!TblDV[Sub-category],[1]!TblDV[Category Type],"")</f>
        <v>Expense</v>
      </c>
      <c r="I215" s="34" t="s">
        <v>73</v>
      </c>
    </row>
    <row r="216" spans="1:9" x14ac:dyDescent="0.35">
      <c r="A216" t="s">
        <v>9</v>
      </c>
      <c r="B216" s="30">
        <v>44332</v>
      </c>
      <c r="C216" s="48">
        <v>30</v>
      </c>
      <c r="D216" s="48"/>
      <c r="E216" s="51">
        <f t="shared" si="3"/>
        <v>-30</v>
      </c>
      <c r="F216" s="33" t="s">
        <v>17</v>
      </c>
      <c r="G216" s="33" t="str">
        <f>_xlfn.XLOOKUP(Transactions[[#This Row],[Sub-category]], [1]!TblDV[Sub-category],[1]!TblDV[Category],"")</f>
        <v>Discretionary</v>
      </c>
      <c r="H216" s="33" t="str">
        <f>_xlfn.XLOOKUP(Transactions[[#This Row],[Sub-category]], [1]!TblDV[Sub-category],[1]!TblDV[Category Type],"")</f>
        <v>Expense</v>
      </c>
      <c r="I216" s="34" t="s">
        <v>74</v>
      </c>
    </row>
    <row r="217" spans="1:9" x14ac:dyDescent="0.35">
      <c r="A217" t="s">
        <v>5</v>
      </c>
      <c r="B217" s="30">
        <v>44332</v>
      </c>
      <c r="C217" s="48">
        <v>5</v>
      </c>
      <c r="D217" s="48"/>
      <c r="E217" s="51">
        <f t="shared" si="3"/>
        <v>-5</v>
      </c>
      <c r="F217" s="33" t="s">
        <v>63</v>
      </c>
      <c r="G217" s="33" t="str">
        <f>_xlfn.XLOOKUP(Transactions[[#This Row],[Sub-category]], [1]!TblDV[Sub-category],[1]!TblDV[Category],"")</f>
        <v>Dining Out</v>
      </c>
      <c r="H217" s="33" t="str">
        <f>_xlfn.XLOOKUP(Transactions[[#This Row],[Sub-category]], [1]!TblDV[Sub-category],[1]!TblDV[Category Type],"")</f>
        <v>Expense</v>
      </c>
      <c r="I217" s="34" t="s">
        <v>62</v>
      </c>
    </row>
    <row r="218" spans="1:9" x14ac:dyDescent="0.35">
      <c r="A218" t="s">
        <v>5</v>
      </c>
      <c r="B218" s="30">
        <v>44333</v>
      </c>
      <c r="C218" s="48">
        <v>5</v>
      </c>
      <c r="D218" s="48"/>
      <c r="E218" s="51">
        <f t="shared" si="3"/>
        <v>-5</v>
      </c>
      <c r="F218" s="33" t="s">
        <v>63</v>
      </c>
      <c r="G218" s="33" t="str">
        <f>_xlfn.XLOOKUP(Transactions[[#This Row],[Sub-category]], [1]!TblDV[Sub-category],[1]!TblDV[Category],"")</f>
        <v>Dining Out</v>
      </c>
      <c r="H218" s="33" t="str">
        <f>_xlfn.XLOOKUP(Transactions[[#This Row],[Sub-category]], [1]!TblDV[Sub-category],[1]!TblDV[Category Type],"")</f>
        <v>Expense</v>
      </c>
      <c r="I218" s="34" t="s">
        <v>62</v>
      </c>
    </row>
    <row r="219" spans="1:9" x14ac:dyDescent="0.35">
      <c r="A219" t="s">
        <v>9</v>
      </c>
      <c r="B219" s="30">
        <v>44333</v>
      </c>
      <c r="C219" s="48">
        <v>75</v>
      </c>
      <c r="D219" s="48"/>
      <c r="E219" s="51">
        <f t="shared" si="3"/>
        <v>-75</v>
      </c>
      <c r="F219" s="33" t="s">
        <v>31</v>
      </c>
      <c r="G219" s="33" t="str">
        <f>_xlfn.XLOOKUP(Transactions[[#This Row],[Sub-category]], [1]!TblDV[Sub-category],[1]!TblDV[Category],"")</f>
        <v>Medical</v>
      </c>
      <c r="H219" s="33" t="str">
        <f>_xlfn.XLOOKUP(Transactions[[#This Row],[Sub-category]], [1]!TblDV[Sub-category],[1]!TblDV[Category Type],"")</f>
        <v>Expense</v>
      </c>
      <c r="I219" s="34" t="s">
        <v>85</v>
      </c>
    </row>
    <row r="220" spans="1:9" x14ac:dyDescent="0.35">
      <c r="A220" t="s">
        <v>9</v>
      </c>
      <c r="B220" s="30">
        <v>44333</v>
      </c>
      <c r="C220" s="48">
        <v>40</v>
      </c>
      <c r="D220" s="48"/>
      <c r="E220" s="51">
        <f t="shared" si="3"/>
        <v>-40</v>
      </c>
      <c r="F220" s="33" t="s">
        <v>30</v>
      </c>
      <c r="G220" s="33" t="str">
        <f>_xlfn.XLOOKUP(Transactions[[#This Row],[Sub-category]], [1]!TblDV[Sub-category],[1]!TblDV[Category],"")</f>
        <v>Living Expenses</v>
      </c>
      <c r="H220" s="33" t="str">
        <f>_xlfn.XLOOKUP(Transactions[[#This Row],[Sub-category]], [1]!TblDV[Sub-category],[1]!TblDV[Category Type],"")</f>
        <v>Expense</v>
      </c>
      <c r="I220" s="34" t="s">
        <v>76</v>
      </c>
    </row>
    <row r="221" spans="1:9" x14ac:dyDescent="0.35">
      <c r="A221" t="s">
        <v>5</v>
      </c>
      <c r="B221" s="30">
        <v>44334</v>
      </c>
      <c r="C221" s="48">
        <v>49</v>
      </c>
      <c r="D221" s="48"/>
      <c r="E221" s="51">
        <f t="shared" si="3"/>
        <v>-49</v>
      </c>
      <c r="F221" s="33" t="s">
        <v>22</v>
      </c>
      <c r="G221" s="33" t="str">
        <f>_xlfn.XLOOKUP(Transactions[[#This Row],[Sub-category]], [1]!TblDV[Sub-category],[1]!TblDV[Category],"")</f>
        <v>Discretionary</v>
      </c>
      <c r="H221" s="33" t="str">
        <f>_xlfn.XLOOKUP(Transactions[[#This Row],[Sub-category]], [1]!TblDV[Sub-category],[1]!TblDV[Category Type],"")</f>
        <v>Expense</v>
      </c>
      <c r="I221" s="34" t="s">
        <v>77</v>
      </c>
    </row>
    <row r="222" spans="1:9" x14ac:dyDescent="0.35">
      <c r="A222" t="s">
        <v>5</v>
      </c>
      <c r="B222" s="30">
        <v>44334</v>
      </c>
      <c r="C222" s="48">
        <v>35</v>
      </c>
      <c r="D222" s="48"/>
      <c r="E222" s="51">
        <f t="shared" si="3"/>
        <v>-35</v>
      </c>
      <c r="F222" s="33" t="s">
        <v>15</v>
      </c>
      <c r="G222" s="33" t="str">
        <f>_xlfn.XLOOKUP(Transactions[[#This Row],[Sub-category]], [1]!TblDV[Sub-category],[1]!TblDV[Category],"")</f>
        <v>Discretionary</v>
      </c>
      <c r="H222" s="33" t="str">
        <f>_xlfn.XLOOKUP(Transactions[[#This Row],[Sub-category]], [1]!TblDV[Sub-category],[1]!TblDV[Category Type],"")</f>
        <v>Expense</v>
      </c>
      <c r="I222" s="34" t="s">
        <v>78</v>
      </c>
    </row>
    <row r="223" spans="1:9" x14ac:dyDescent="0.35">
      <c r="A223" t="s">
        <v>5</v>
      </c>
      <c r="B223" s="30">
        <v>44334</v>
      </c>
      <c r="C223" s="48">
        <v>5</v>
      </c>
      <c r="D223" s="48"/>
      <c r="E223" s="51">
        <f t="shared" si="3"/>
        <v>-5</v>
      </c>
      <c r="F223" s="33" t="s">
        <v>63</v>
      </c>
      <c r="G223" s="33" t="str">
        <f>_xlfn.XLOOKUP(Transactions[[#This Row],[Sub-category]], [1]!TblDV[Sub-category],[1]!TblDV[Category],"")</f>
        <v>Dining Out</v>
      </c>
      <c r="H223" s="33" t="str">
        <f>_xlfn.XLOOKUP(Transactions[[#This Row],[Sub-category]], [1]!TblDV[Sub-category],[1]!TblDV[Category Type],"")</f>
        <v>Expense</v>
      </c>
      <c r="I223" s="34" t="s">
        <v>62</v>
      </c>
    </row>
    <row r="224" spans="1:9" x14ac:dyDescent="0.35">
      <c r="A224" t="s">
        <v>5</v>
      </c>
      <c r="B224" s="30">
        <v>44335</v>
      </c>
      <c r="C224" s="48">
        <v>5</v>
      </c>
      <c r="D224" s="48"/>
      <c r="E224" s="51">
        <f t="shared" si="3"/>
        <v>-5</v>
      </c>
      <c r="F224" s="33" t="s">
        <v>63</v>
      </c>
      <c r="G224" s="33" t="str">
        <f>_xlfn.XLOOKUP(Transactions[[#This Row],[Sub-category]], [1]!TblDV[Sub-category],[1]!TblDV[Category],"")</f>
        <v>Dining Out</v>
      </c>
      <c r="H224" s="33" t="str">
        <f>_xlfn.XLOOKUP(Transactions[[#This Row],[Sub-category]], [1]!TblDV[Sub-category],[1]!TblDV[Category Type],"")</f>
        <v>Expense</v>
      </c>
      <c r="I224" s="34" t="s">
        <v>62</v>
      </c>
    </row>
    <row r="225" spans="1:9" x14ac:dyDescent="0.35">
      <c r="A225" t="s">
        <v>5</v>
      </c>
      <c r="B225" s="30">
        <v>44336</v>
      </c>
      <c r="C225" s="48">
        <v>5</v>
      </c>
      <c r="D225" s="48"/>
      <c r="E225" s="51">
        <f t="shared" si="3"/>
        <v>-5</v>
      </c>
      <c r="F225" s="33" t="s">
        <v>63</v>
      </c>
      <c r="G225" s="33" t="str">
        <f>_xlfn.XLOOKUP(Transactions[[#This Row],[Sub-category]], [1]!TblDV[Sub-category],[1]!TblDV[Category],"")</f>
        <v>Dining Out</v>
      </c>
      <c r="H225" s="33" t="str">
        <f>_xlfn.XLOOKUP(Transactions[[#This Row],[Sub-category]], [1]!TblDV[Sub-category],[1]!TblDV[Category Type],"")</f>
        <v>Expense</v>
      </c>
      <c r="I225" s="34" t="s">
        <v>62</v>
      </c>
    </row>
    <row r="226" spans="1:9" x14ac:dyDescent="0.35">
      <c r="A226" t="s">
        <v>5</v>
      </c>
      <c r="B226" s="30">
        <v>44336</v>
      </c>
      <c r="C226" s="48">
        <v>174</v>
      </c>
      <c r="D226" s="48"/>
      <c r="E226" s="51">
        <f t="shared" si="3"/>
        <v>-174</v>
      </c>
      <c r="F226" s="33" t="s">
        <v>14</v>
      </c>
      <c r="G226" s="33" t="str">
        <f>_xlfn.XLOOKUP(Transactions[[#This Row],[Sub-category]], [1]!TblDV[Sub-category],[1]!TblDV[Category],"")</f>
        <v>Living Expenses</v>
      </c>
      <c r="H226" s="33" t="str">
        <f>_xlfn.XLOOKUP(Transactions[[#This Row],[Sub-category]], [1]!TblDV[Sub-category],[1]!TblDV[Category Type],"")</f>
        <v>Expense</v>
      </c>
      <c r="I226" s="34" t="s">
        <v>66</v>
      </c>
    </row>
    <row r="227" spans="1:9" x14ac:dyDescent="0.35">
      <c r="A227" t="s">
        <v>5</v>
      </c>
      <c r="B227" s="30">
        <v>44337</v>
      </c>
      <c r="C227" s="48">
        <v>41.1</v>
      </c>
      <c r="D227" s="48"/>
      <c r="E227" s="51">
        <f t="shared" si="3"/>
        <v>-41.1</v>
      </c>
      <c r="F227" s="33" t="s">
        <v>72</v>
      </c>
      <c r="G227" s="33" t="str">
        <f>_xlfn.XLOOKUP(Transactions[[#This Row],[Sub-category]], [1]!TblDV[Sub-category],[1]!TblDV[Category],"")</f>
        <v>Dining Out</v>
      </c>
      <c r="H227" s="33" t="str">
        <f>_xlfn.XLOOKUP(Transactions[[#This Row],[Sub-category]], [1]!TblDV[Sub-category],[1]!TblDV[Category Type],"")</f>
        <v>Expense</v>
      </c>
      <c r="I227" s="34" t="s">
        <v>79</v>
      </c>
    </row>
    <row r="228" spans="1:9" x14ac:dyDescent="0.35">
      <c r="A228" t="s">
        <v>5</v>
      </c>
      <c r="B228" s="30">
        <v>44338</v>
      </c>
      <c r="C228" s="48">
        <v>16.2</v>
      </c>
      <c r="D228" s="48"/>
      <c r="E228" s="51">
        <f t="shared" si="3"/>
        <v>-16.2</v>
      </c>
      <c r="F228" s="33" t="s">
        <v>72</v>
      </c>
      <c r="G228" s="33" t="str">
        <f>_xlfn.XLOOKUP(Transactions[[#This Row],[Sub-category]], [1]!TblDV[Sub-category],[1]!TblDV[Category],"")</f>
        <v>Dining Out</v>
      </c>
      <c r="H228" s="33" t="str">
        <f>_xlfn.XLOOKUP(Transactions[[#This Row],[Sub-category]], [1]!TblDV[Sub-category],[1]!TblDV[Category Type],"")</f>
        <v>Expense</v>
      </c>
      <c r="I228" s="34" t="s">
        <v>80</v>
      </c>
    </row>
    <row r="229" spans="1:9" x14ac:dyDescent="0.35">
      <c r="A229" t="s">
        <v>9</v>
      </c>
      <c r="B229" s="30">
        <v>44339</v>
      </c>
      <c r="C229" s="48">
        <v>55</v>
      </c>
      <c r="D229" s="48"/>
      <c r="E229" s="51">
        <f t="shared" si="3"/>
        <v>-55</v>
      </c>
      <c r="F229" s="33" t="s">
        <v>23</v>
      </c>
      <c r="G229" s="33" t="str">
        <f>_xlfn.XLOOKUP(Transactions[[#This Row],[Sub-category]], [1]!TblDV[Sub-category],[1]!TblDV[Category],"")</f>
        <v>Charity</v>
      </c>
      <c r="H229" s="33" t="str">
        <f>_xlfn.XLOOKUP(Transactions[[#This Row],[Sub-category]], [1]!TblDV[Sub-category],[1]!TblDV[Category Type],"")</f>
        <v>Expense</v>
      </c>
      <c r="I229" s="34" t="s">
        <v>81</v>
      </c>
    </row>
    <row r="230" spans="1:9" x14ac:dyDescent="0.35">
      <c r="A230" t="s">
        <v>5</v>
      </c>
      <c r="B230" s="30">
        <v>44339</v>
      </c>
      <c r="C230" s="48">
        <v>67</v>
      </c>
      <c r="D230" s="48"/>
      <c r="E230" s="51">
        <f t="shared" si="3"/>
        <v>-67</v>
      </c>
      <c r="F230" s="33" t="s">
        <v>13</v>
      </c>
      <c r="G230" s="33" t="str">
        <f>_xlfn.XLOOKUP(Transactions[[#This Row],[Sub-category]], [1]!TblDV[Sub-category],[1]!TblDV[Category],"")</f>
        <v>Transport</v>
      </c>
      <c r="H230" s="33" t="str">
        <f>_xlfn.XLOOKUP(Transactions[[#This Row],[Sub-category]], [1]!TblDV[Sub-category],[1]!TblDV[Category Type],"")</f>
        <v>Expense</v>
      </c>
      <c r="I230" s="34" t="s">
        <v>68</v>
      </c>
    </row>
    <row r="231" spans="1:9" x14ac:dyDescent="0.35">
      <c r="A231" t="s">
        <v>5</v>
      </c>
      <c r="B231" s="30">
        <v>44339</v>
      </c>
      <c r="C231" s="48">
        <v>5</v>
      </c>
      <c r="D231" s="48"/>
      <c r="E231" s="51">
        <f t="shared" si="3"/>
        <v>-5</v>
      </c>
      <c r="F231" s="33" t="s">
        <v>63</v>
      </c>
      <c r="G231" s="33" t="str">
        <f>_xlfn.XLOOKUP(Transactions[[#This Row],[Sub-category]], [1]!TblDV[Sub-category],[1]!TblDV[Category],"")</f>
        <v>Dining Out</v>
      </c>
      <c r="H231" s="33" t="str">
        <f>_xlfn.XLOOKUP(Transactions[[#This Row],[Sub-category]], [1]!TblDV[Sub-category],[1]!TblDV[Category Type],"")</f>
        <v>Expense</v>
      </c>
      <c r="I231" s="34" t="s">
        <v>62</v>
      </c>
    </row>
    <row r="232" spans="1:9" x14ac:dyDescent="0.35">
      <c r="A232" t="s">
        <v>5</v>
      </c>
      <c r="B232" s="30">
        <v>44340</v>
      </c>
      <c r="C232" s="48">
        <v>5</v>
      </c>
      <c r="D232" s="48"/>
      <c r="E232" s="51">
        <f t="shared" si="3"/>
        <v>-5</v>
      </c>
      <c r="F232" s="33" t="s">
        <v>63</v>
      </c>
      <c r="G232" s="33" t="str">
        <f>_xlfn.XLOOKUP(Transactions[[#This Row],[Sub-category]], [1]!TblDV[Sub-category],[1]!TblDV[Category],"")</f>
        <v>Dining Out</v>
      </c>
      <c r="H232" s="33" t="str">
        <f>_xlfn.XLOOKUP(Transactions[[#This Row],[Sub-category]], [1]!TblDV[Sub-category],[1]!TblDV[Category Type],"")</f>
        <v>Expense</v>
      </c>
      <c r="I232" s="34" t="s">
        <v>62</v>
      </c>
    </row>
    <row r="233" spans="1:9" x14ac:dyDescent="0.35">
      <c r="A233" t="s">
        <v>5</v>
      </c>
      <c r="B233" s="30">
        <v>44341</v>
      </c>
      <c r="C233" s="48">
        <v>5</v>
      </c>
      <c r="D233" s="48"/>
      <c r="E233" s="51">
        <f t="shared" si="3"/>
        <v>-5</v>
      </c>
      <c r="F233" s="33" t="s">
        <v>63</v>
      </c>
      <c r="G233" s="33" t="str">
        <f>_xlfn.XLOOKUP(Transactions[[#This Row],[Sub-category]], [1]!TblDV[Sub-category],[1]!TblDV[Category],"")</f>
        <v>Dining Out</v>
      </c>
      <c r="H233" s="33" t="str">
        <f>_xlfn.XLOOKUP(Transactions[[#This Row],[Sub-category]], [1]!TblDV[Sub-category],[1]!TblDV[Category Type],"")</f>
        <v>Expense</v>
      </c>
      <c r="I233" s="34" t="s">
        <v>62</v>
      </c>
    </row>
    <row r="234" spans="1:9" x14ac:dyDescent="0.35">
      <c r="A234" t="s">
        <v>5</v>
      </c>
      <c r="B234" s="30">
        <v>44342</v>
      </c>
      <c r="C234" s="48">
        <v>5</v>
      </c>
      <c r="D234" s="48"/>
      <c r="E234" s="51">
        <f t="shared" si="3"/>
        <v>-5</v>
      </c>
      <c r="F234" s="33" t="s">
        <v>63</v>
      </c>
      <c r="G234" s="33" t="str">
        <f>_xlfn.XLOOKUP(Transactions[[#This Row],[Sub-category]], [1]!TblDV[Sub-category],[1]!TblDV[Category],"")</f>
        <v>Dining Out</v>
      </c>
      <c r="H234" s="33" t="str">
        <f>_xlfn.XLOOKUP(Transactions[[#This Row],[Sub-category]], [1]!TblDV[Sub-category],[1]!TblDV[Category Type],"")</f>
        <v>Expense</v>
      </c>
      <c r="I234" s="34" t="s">
        <v>62</v>
      </c>
    </row>
    <row r="235" spans="1:9" x14ac:dyDescent="0.35">
      <c r="A235" t="s">
        <v>5</v>
      </c>
      <c r="B235" s="30">
        <v>44343</v>
      </c>
      <c r="C235" s="48">
        <v>5</v>
      </c>
      <c r="D235" s="48"/>
      <c r="E235" s="51">
        <f t="shared" si="3"/>
        <v>-5</v>
      </c>
      <c r="F235" s="33" t="s">
        <v>63</v>
      </c>
      <c r="G235" s="33" t="str">
        <f>_xlfn.XLOOKUP(Transactions[[#This Row],[Sub-category]], [1]!TblDV[Sub-category],[1]!TblDV[Category],"")</f>
        <v>Dining Out</v>
      </c>
      <c r="H235" s="33" t="str">
        <f>_xlfn.XLOOKUP(Transactions[[#This Row],[Sub-category]], [1]!TblDV[Sub-category],[1]!TblDV[Category Type],"")</f>
        <v>Expense</v>
      </c>
      <c r="I235" s="34" t="s">
        <v>62</v>
      </c>
    </row>
    <row r="236" spans="1:9" x14ac:dyDescent="0.35">
      <c r="A236" t="s">
        <v>5</v>
      </c>
      <c r="B236" s="30">
        <v>44343</v>
      </c>
      <c r="C236" s="48">
        <v>165.8</v>
      </c>
      <c r="D236" s="48"/>
      <c r="E236" s="51">
        <f t="shared" si="3"/>
        <v>-165.8</v>
      </c>
      <c r="F236" s="33" t="s">
        <v>14</v>
      </c>
      <c r="G236" s="33" t="str">
        <f>_xlfn.XLOOKUP(Transactions[[#This Row],[Sub-category]], [1]!TblDV[Sub-category],[1]!TblDV[Category],"")</f>
        <v>Living Expenses</v>
      </c>
      <c r="H236" s="33" t="str">
        <f>_xlfn.XLOOKUP(Transactions[[#This Row],[Sub-category]], [1]!TblDV[Sub-category],[1]!TblDV[Category Type],"")</f>
        <v>Expense</v>
      </c>
      <c r="I236" s="34" t="s">
        <v>66</v>
      </c>
    </row>
    <row r="237" spans="1:9" x14ac:dyDescent="0.35">
      <c r="A237" t="s">
        <v>5</v>
      </c>
      <c r="B237" s="30">
        <v>44344</v>
      </c>
      <c r="C237" s="48">
        <v>128.80000000000001</v>
      </c>
      <c r="D237" s="48"/>
      <c r="E237" s="51">
        <f t="shared" si="3"/>
        <v>-128.80000000000001</v>
      </c>
      <c r="F237" s="33" t="s">
        <v>16</v>
      </c>
      <c r="G237" s="33" t="str">
        <f>_xlfn.XLOOKUP(Transactions[[#This Row],[Sub-category]], [1]!TblDV[Sub-category],[1]!TblDV[Category],"")</f>
        <v>Discretionary</v>
      </c>
      <c r="H237" s="33" t="str">
        <f>_xlfn.XLOOKUP(Transactions[[#This Row],[Sub-category]], [1]!TblDV[Sub-category],[1]!TblDV[Category Type],"")</f>
        <v>Expense</v>
      </c>
      <c r="I237" s="34" t="s">
        <v>82</v>
      </c>
    </row>
    <row r="238" spans="1:9" x14ac:dyDescent="0.35">
      <c r="A238" t="s">
        <v>5</v>
      </c>
      <c r="B238" s="30">
        <v>44344</v>
      </c>
      <c r="C238" s="48">
        <v>235</v>
      </c>
      <c r="D238" s="48"/>
      <c r="E238" s="51">
        <f t="shared" si="3"/>
        <v>-235</v>
      </c>
      <c r="F238" s="33" t="s">
        <v>32</v>
      </c>
      <c r="G238" s="33" t="str">
        <f>_xlfn.XLOOKUP(Transactions[[#This Row],[Sub-category]], [1]!TblDV[Sub-category],[1]!TblDV[Category],"")</f>
        <v>Discretionary</v>
      </c>
      <c r="H238" s="33" t="str">
        <f>_xlfn.XLOOKUP(Transactions[[#This Row],[Sub-category]], [1]!TblDV[Sub-category],[1]!TblDV[Category Type],"")</f>
        <v>Expense</v>
      </c>
      <c r="I238" s="34" t="s">
        <v>89</v>
      </c>
    </row>
    <row r="239" spans="1:9" x14ac:dyDescent="0.35">
      <c r="A239" t="s">
        <v>5</v>
      </c>
      <c r="B239" s="30">
        <v>44345</v>
      </c>
      <c r="C239" s="48">
        <v>149.19999999999999</v>
      </c>
      <c r="D239" s="48"/>
      <c r="E239" s="51">
        <f t="shared" si="3"/>
        <v>-149.19999999999999</v>
      </c>
      <c r="F239" s="33" t="s">
        <v>16</v>
      </c>
      <c r="G239" s="33" t="str">
        <f>_xlfn.XLOOKUP(Transactions[[#This Row],[Sub-category]], [1]!TblDV[Sub-category],[1]!TblDV[Category],"")</f>
        <v>Discretionary</v>
      </c>
      <c r="H239" s="33" t="str">
        <f>_xlfn.XLOOKUP(Transactions[[#This Row],[Sub-category]], [1]!TblDV[Sub-category],[1]!TblDV[Category Type],"")</f>
        <v>Expense</v>
      </c>
      <c r="I239" s="34" t="s">
        <v>70</v>
      </c>
    </row>
    <row r="240" spans="1:9" x14ac:dyDescent="0.35">
      <c r="A240" t="s">
        <v>5</v>
      </c>
      <c r="B240" s="30">
        <v>44345</v>
      </c>
      <c r="C240" s="48">
        <v>27.200000000000003</v>
      </c>
      <c r="D240" s="48"/>
      <c r="E240" s="51">
        <f t="shared" si="3"/>
        <v>-27.200000000000003</v>
      </c>
      <c r="F240" s="33" t="s">
        <v>27</v>
      </c>
      <c r="G240" s="33" t="str">
        <f>_xlfn.XLOOKUP(Transactions[[#This Row],[Sub-category]], [1]!TblDV[Sub-category],[1]!TblDV[Category],"")</f>
        <v>Transport</v>
      </c>
      <c r="H240" s="33" t="str">
        <f>_xlfn.XLOOKUP(Transactions[[#This Row],[Sub-category]], [1]!TblDV[Sub-category],[1]!TblDV[Category Type],"")</f>
        <v>Expense</v>
      </c>
      <c r="I240" s="34" t="s">
        <v>73</v>
      </c>
    </row>
    <row r="241" spans="1:9" x14ac:dyDescent="0.35">
      <c r="A241" t="s">
        <v>5</v>
      </c>
      <c r="B241" s="30">
        <v>44347</v>
      </c>
      <c r="C241" s="48">
        <v>15</v>
      </c>
      <c r="D241" s="48"/>
      <c r="E241" s="51">
        <f t="shared" si="3"/>
        <v>-15</v>
      </c>
      <c r="F241" s="33" t="s">
        <v>72</v>
      </c>
      <c r="G241" s="33" t="str">
        <f>_xlfn.XLOOKUP(Transactions[[#This Row],[Sub-category]], [1]!TblDV[Sub-category],[1]!TblDV[Category],"")</f>
        <v>Dining Out</v>
      </c>
      <c r="H241" s="33" t="str">
        <f>_xlfn.XLOOKUP(Transactions[[#This Row],[Sub-category]], [1]!TblDV[Sub-category],[1]!TblDV[Category Type],"")</f>
        <v>Expense</v>
      </c>
      <c r="I241" s="34" t="s">
        <v>87</v>
      </c>
    </row>
    <row r="242" spans="1:9" x14ac:dyDescent="0.35">
      <c r="A242" t="s">
        <v>5</v>
      </c>
      <c r="B242" s="30">
        <v>44346</v>
      </c>
      <c r="C242" s="48">
        <v>5</v>
      </c>
      <c r="D242" s="48"/>
      <c r="E242" s="51">
        <f t="shared" si="3"/>
        <v>-5</v>
      </c>
      <c r="F242" s="33" t="s">
        <v>63</v>
      </c>
      <c r="G242" s="33" t="str">
        <f>_xlfn.XLOOKUP(Transactions[[#This Row],[Sub-category]], [1]!TblDV[Sub-category],[1]!TblDV[Category],"")</f>
        <v>Dining Out</v>
      </c>
      <c r="H242" s="33" t="str">
        <f>_xlfn.XLOOKUP(Transactions[[#This Row],[Sub-category]], [1]!TblDV[Sub-category],[1]!TblDV[Category Type],"")</f>
        <v>Expense</v>
      </c>
      <c r="I242" s="34" t="s">
        <v>62</v>
      </c>
    </row>
    <row r="243" spans="1:9" x14ac:dyDescent="0.35">
      <c r="A243" t="s">
        <v>5</v>
      </c>
      <c r="B243" s="30">
        <v>44347</v>
      </c>
      <c r="C243" s="48">
        <v>5</v>
      </c>
      <c r="D243" s="48"/>
      <c r="E243" s="51">
        <f t="shared" si="3"/>
        <v>-5</v>
      </c>
      <c r="F243" s="33" t="s">
        <v>63</v>
      </c>
      <c r="G243" s="33" t="str">
        <f>_xlfn.XLOOKUP(Transactions[[#This Row],[Sub-category]], [1]!TblDV[Sub-category],[1]!TblDV[Category],"")</f>
        <v>Dining Out</v>
      </c>
      <c r="H243" s="33" t="str">
        <f>_xlfn.XLOOKUP(Transactions[[#This Row],[Sub-category]], [1]!TblDV[Sub-category],[1]!TblDV[Category Type],"")</f>
        <v>Expense</v>
      </c>
      <c r="I243" s="34" t="s">
        <v>62</v>
      </c>
    </row>
    <row r="244" spans="1:9" x14ac:dyDescent="0.35">
      <c r="A244" t="s">
        <v>9</v>
      </c>
      <c r="B244" s="30">
        <v>44348</v>
      </c>
      <c r="C244" s="48"/>
      <c r="D244" s="48">
        <v>4000</v>
      </c>
      <c r="E244" s="51">
        <f t="shared" si="3"/>
        <v>4000</v>
      </c>
      <c r="F244" s="33" t="s">
        <v>7</v>
      </c>
      <c r="G244" s="33" t="str">
        <f>_xlfn.XLOOKUP(Transactions[[#This Row],[Sub-category]], [1]!TblDV[Sub-category],[1]!TblDV[Category],"")</f>
        <v>Salary</v>
      </c>
      <c r="H244" s="33" t="str">
        <f>_xlfn.XLOOKUP(Transactions[[#This Row],[Sub-category]], [1]!TblDV[Sub-category],[1]!TblDV[Category Type],"")</f>
        <v>Income</v>
      </c>
      <c r="I244" s="34" t="s">
        <v>61</v>
      </c>
    </row>
    <row r="245" spans="1:9" x14ac:dyDescent="0.35">
      <c r="A245" t="s">
        <v>5</v>
      </c>
      <c r="B245" s="30">
        <v>44350</v>
      </c>
      <c r="C245" s="48">
        <v>5</v>
      </c>
      <c r="D245" s="48"/>
      <c r="E245" s="51">
        <f t="shared" si="3"/>
        <v>-5</v>
      </c>
      <c r="F245" s="33" t="s">
        <v>63</v>
      </c>
      <c r="G245" s="33" t="str">
        <f>_xlfn.XLOOKUP(Transactions[[#This Row],[Sub-category]], [1]!TblDV[Sub-category],[1]!TblDV[Category],"")</f>
        <v>Dining Out</v>
      </c>
      <c r="H245" s="33" t="str">
        <f>_xlfn.XLOOKUP(Transactions[[#This Row],[Sub-category]], [1]!TblDV[Sub-category],[1]!TblDV[Category Type],"")</f>
        <v>Expense</v>
      </c>
      <c r="I245" s="34" t="s">
        <v>62</v>
      </c>
    </row>
    <row r="246" spans="1:9" x14ac:dyDescent="0.35">
      <c r="A246" t="s">
        <v>9</v>
      </c>
      <c r="B246" s="30">
        <v>44350</v>
      </c>
      <c r="C246" s="48">
        <v>900</v>
      </c>
      <c r="D246" s="48"/>
      <c r="E246" s="51">
        <f t="shared" si="3"/>
        <v>-900</v>
      </c>
      <c r="F246" s="33" t="s">
        <v>10</v>
      </c>
      <c r="G246" s="33" t="str">
        <f>_xlfn.XLOOKUP(Transactions[[#This Row],[Sub-category]], [1]!TblDV[Sub-category],[1]!TblDV[Category],"")</f>
        <v>Living Expenses</v>
      </c>
      <c r="H246" s="33" t="str">
        <f>_xlfn.XLOOKUP(Transactions[[#This Row],[Sub-category]], [1]!TblDV[Sub-category],[1]!TblDV[Category Type],"")</f>
        <v>Expense</v>
      </c>
      <c r="I246" s="34" t="s">
        <v>64</v>
      </c>
    </row>
    <row r="247" spans="1:9" x14ac:dyDescent="0.35">
      <c r="A247" t="s">
        <v>9</v>
      </c>
      <c r="B247" s="30">
        <v>44350</v>
      </c>
      <c r="C247" s="48">
        <v>150</v>
      </c>
      <c r="D247" s="48"/>
      <c r="E247" s="51">
        <f t="shared" si="3"/>
        <v>-150</v>
      </c>
      <c r="F247" s="33" t="s">
        <v>29</v>
      </c>
      <c r="G247" s="33" t="str">
        <f>_xlfn.XLOOKUP(Transactions[[#This Row],[Sub-category]], [1]!TblDV[Sub-category],[1]!TblDV[Category],"")</f>
        <v>Transport</v>
      </c>
      <c r="H247" s="33" t="str">
        <f>_xlfn.XLOOKUP(Transactions[[#This Row],[Sub-category]], [1]!TblDV[Sub-category],[1]!TblDV[Category Type],"")</f>
        <v>Expense</v>
      </c>
      <c r="I247" s="34" t="s">
        <v>65</v>
      </c>
    </row>
    <row r="248" spans="1:9" x14ac:dyDescent="0.35">
      <c r="A248" t="s">
        <v>5</v>
      </c>
      <c r="B248" s="30">
        <v>44350</v>
      </c>
      <c r="C248" s="48">
        <v>5</v>
      </c>
      <c r="D248" s="48"/>
      <c r="E248" s="51">
        <f t="shared" si="3"/>
        <v>-5</v>
      </c>
      <c r="F248" s="33" t="s">
        <v>63</v>
      </c>
      <c r="G248" s="33" t="str">
        <f>_xlfn.XLOOKUP(Transactions[[#This Row],[Sub-category]], [1]!TblDV[Sub-category],[1]!TblDV[Category],"")</f>
        <v>Dining Out</v>
      </c>
      <c r="H248" s="33" t="str">
        <f>_xlfn.XLOOKUP(Transactions[[#This Row],[Sub-category]], [1]!TblDV[Sub-category],[1]!TblDV[Category Type],"")</f>
        <v>Expense</v>
      </c>
      <c r="I248" s="34" t="s">
        <v>62</v>
      </c>
    </row>
    <row r="249" spans="1:9" x14ac:dyDescent="0.35">
      <c r="A249" t="s">
        <v>5</v>
      </c>
      <c r="B249" s="30">
        <v>44351</v>
      </c>
      <c r="C249" s="48">
        <v>5</v>
      </c>
      <c r="D249" s="48"/>
      <c r="E249" s="51">
        <f t="shared" si="3"/>
        <v>-5</v>
      </c>
      <c r="F249" s="33" t="s">
        <v>63</v>
      </c>
      <c r="G249" s="33" t="str">
        <f>_xlfn.XLOOKUP(Transactions[[#This Row],[Sub-category]], [1]!TblDV[Sub-category],[1]!TblDV[Category],"")</f>
        <v>Dining Out</v>
      </c>
      <c r="H249" s="33" t="str">
        <f>_xlfn.XLOOKUP(Transactions[[#This Row],[Sub-category]], [1]!TblDV[Sub-category],[1]!TblDV[Category Type],"")</f>
        <v>Expense</v>
      </c>
      <c r="I249" s="34" t="s">
        <v>62</v>
      </c>
    </row>
    <row r="250" spans="1:9" x14ac:dyDescent="0.35">
      <c r="A250" t="s">
        <v>5</v>
      </c>
      <c r="B250" s="30">
        <v>44352</v>
      </c>
      <c r="C250" s="48">
        <v>5</v>
      </c>
      <c r="D250" s="48"/>
      <c r="E250" s="51">
        <f t="shared" si="3"/>
        <v>-5</v>
      </c>
      <c r="F250" s="33" t="s">
        <v>63</v>
      </c>
      <c r="G250" s="33" t="str">
        <f>_xlfn.XLOOKUP(Transactions[[#This Row],[Sub-category]], [1]!TblDV[Sub-category],[1]!TblDV[Category],"")</f>
        <v>Dining Out</v>
      </c>
      <c r="H250" s="33" t="str">
        <f>_xlfn.XLOOKUP(Transactions[[#This Row],[Sub-category]], [1]!TblDV[Sub-category],[1]!TblDV[Category Type],"")</f>
        <v>Expense</v>
      </c>
      <c r="I250" s="34" t="s">
        <v>62</v>
      </c>
    </row>
    <row r="251" spans="1:9" x14ac:dyDescent="0.35">
      <c r="A251" t="s">
        <v>5</v>
      </c>
      <c r="B251" s="30">
        <v>44353</v>
      </c>
      <c r="C251" s="48">
        <v>5</v>
      </c>
      <c r="D251" s="48"/>
      <c r="E251" s="51">
        <f t="shared" si="3"/>
        <v>-5</v>
      </c>
      <c r="F251" s="33" t="s">
        <v>63</v>
      </c>
      <c r="G251" s="33" t="str">
        <f>_xlfn.XLOOKUP(Transactions[[#This Row],[Sub-category]], [1]!TblDV[Sub-category],[1]!TblDV[Category],"")</f>
        <v>Dining Out</v>
      </c>
      <c r="H251" s="33" t="str">
        <f>_xlfn.XLOOKUP(Transactions[[#This Row],[Sub-category]], [1]!TblDV[Sub-category],[1]!TblDV[Category Type],"")</f>
        <v>Expense</v>
      </c>
      <c r="I251" s="34" t="s">
        <v>62</v>
      </c>
    </row>
    <row r="252" spans="1:9" x14ac:dyDescent="0.35">
      <c r="A252" t="s">
        <v>5</v>
      </c>
      <c r="B252" s="30">
        <v>44353</v>
      </c>
      <c r="C252" s="48">
        <v>119</v>
      </c>
      <c r="D252" s="48"/>
      <c r="E252" s="51">
        <f t="shared" si="3"/>
        <v>-119</v>
      </c>
      <c r="F252" s="33" t="s">
        <v>14</v>
      </c>
      <c r="G252" s="33" t="str">
        <f>_xlfn.XLOOKUP(Transactions[[#This Row],[Sub-category]], [1]!TblDV[Sub-category],[1]!TblDV[Category],"")</f>
        <v>Living Expenses</v>
      </c>
      <c r="H252" s="33" t="str">
        <f>_xlfn.XLOOKUP(Transactions[[#This Row],[Sub-category]], [1]!TblDV[Sub-category],[1]!TblDV[Category Type],"")</f>
        <v>Expense</v>
      </c>
      <c r="I252" s="34" t="s">
        <v>66</v>
      </c>
    </row>
    <row r="253" spans="1:9" x14ac:dyDescent="0.35">
      <c r="A253" t="s">
        <v>9</v>
      </c>
      <c r="B253" s="30">
        <v>44356</v>
      </c>
      <c r="C253" s="48">
        <v>55</v>
      </c>
      <c r="D253" s="48"/>
      <c r="E253" s="51">
        <f t="shared" si="3"/>
        <v>-55</v>
      </c>
      <c r="F253" s="33" t="s">
        <v>12</v>
      </c>
      <c r="G253" s="33" t="str">
        <f>_xlfn.XLOOKUP(Transactions[[#This Row],[Sub-category]], [1]!TblDV[Sub-category],[1]!TblDV[Category],"")</f>
        <v>Living Expenses</v>
      </c>
      <c r="H253" s="33" t="str">
        <f>_xlfn.XLOOKUP(Transactions[[#This Row],[Sub-category]], [1]!TblDV[Sub-category],[1]!TblDV[Category Type],"")</f>
        <v>Expense</v>
      </c>
      <c r="I253" s="34" t="s">
        <v>67</v>
      </c>
    </row>
    <row r="254" spans="1:9" x14ac:dyDescent="0.35">
      <c r="A254" t="s">
        <v>5</v>
      </c>
      <c r="B254" s="30">
        <v>44356</v>
      </c>
      <c r="C254" s="48">
        <v>5</v>
      </c>
      <c r="D254" s="48"/>
      <c r="E254" s="51">
        <f t="shared" si="3"/>
        <v>-5</v>
      </c>
      <c r="F254" s="33" t="s">
        <v>63</v>
      </c>
      <c r="G254" s="33" t="str">
        <f>_xlfn.XLOOKUP(Transactions[[#This Row],[Sub-category]], [1]!TblDV[Sub-category],[1]!TblDV[Category],"")</f>
        <v>Dining Out</v>
      </c>
      <c r="H254" s="33" t="str">
        <f>_xlfn.XLOOKUP(Transactions[[#This Row],[Sub-category]], [1]!TblDV[Sub-category],[1]!TblDV[Category Type],"")</f>
        <v>Expense</v>
      </c>
      <c r="I254" s="34" t="s">
        <v>62</v>
      </c>
    </row>
    <row r="255" spans="1:9" x14ac:dyDescent="0.35">
      <c r="A255" t="s">
        <v>5</v>
      </c>
      <c r="B255" s="30">
        <v>44357</v>
      </c>
      <c r="C255" s="48">
        <v>5</v>
      </c>
      <c r="D255" s="48"/>
      <c r="E255" s="51">
        <f t="shared" si="3"/>
        <v>-5</v>
      </c>
      <c r="F255" s="33" t="s">
        <v>63</v>
      </c>
      <c r="G255" s="33" t="str">
        <f>_xlfn.XLOOKUP(Transactions[[#This Row],[Sub-category]], [1]!TblDV[Sub-category],[1]!TblDV[Category],"")</f>
        <v>Dining Out</v>
      </c>
      <c r="H255" s="33" t="str">
        <f>_xlfn.XLOOKUP(Transactions[[#This Row],[Sub-category]], [1]!TblDV[Sub-category],[1]!TblDV[Category Type],"")</f>
        <v>Expense</v>
      </c>
      <c r="I255" s="34" t="s">
        <v>62</v>
      </c>
    </row>
    <row r="256" spans="1:9" x14ac:dyDescent="0.35">
      <c r="A256" t="s">
        <v>5</v>
      </c>
      <c r="B256" s="30">
        <v>44358</v>
      </c>
      <c r="C256" s="48">
        <v>82.1</v>
      </c>
      <c r="D256" s="48"/>
      <c r="E256" s="51">
        <f t="shared" si="3"/>
        <v>-82.1</v>
      </c>
      <c r="F256" s="33" t="s">
        <v>13</v>
      </c>
      <c r="G256" s="33" t="str">
        <f>_xlfn.XLOOKUP(Transactions[[#This Row],[Sub-category]], [1]!TblDV[Sub-category],[1]!TblDV[Category],"")</f>
        <v>Transport</v>
      </c>
      <c r="H256" s="33" t="str">
        <f>_xlfn.XLOOKUP(Transactions[[#This Row],[Sub-category]], [1]!TblDV[Sub-category],[1]!TblDV[Category Type],"")</f>
        <v>Expense</v>
      </c>
      <c r="I256" s="34" t="s">
        <v>68</v>
      </c>
    </row>
    <row r="257" spans="1:9" x14ac:dyDescent="0.35">
      <c r="A257" t="s">
        <v>5</v>
      </c>
      <c r="B257" s="30">
        <v>44358</v>
      </c>
      <c r="C257" s="48">
        <v>5</v>
      </c>
      <c r="D257" s="48"/>
      <c r="E257" s="51">
        <f t="shared" si="3"/>
        <v>-5</v>
      </c>
      <c r="F257" s="33" t="s">
        <v>63</v>
      </c>
      <c r="G257" s="33" t="str">
        <f>_xlfn.XLOOKUP(Transactions[[#This Row],[Sub-category]], [1]!TblDV[Sub-category],[1]!TblDV[Category],"")</f>
        <v>Dining Out</v>
      </c>
      <c r="H257" s="33" t="str">
        <f>_xlfn.XLOOKUP(Transactions[[#This Row],[Sub-category]], [1]!TblDV[Sub-category],[1]!TblDV[Category Type],"")</f>
        <v>Expense</v>
      </c>
      <c r="I257" s="34" t="s">
        <v>62</v>
      </c>
    </row>
    <row r="258" spans="1:9" x14ac:dyDescent="0.35">
      <c r="A258" t="s">
        <v>5</v>
      </c>
      <c r="B258" s="30">
        <v>44359</v>
      </c>
      <c r="C258" s="48">
        <v>5</v>
      </c>
      <c r="D258" s="48"/>
      <c r="E258" s="51">
        <f t="shared" ref="E258:E321" si="4">D258-C258</f>
        <v>-5</v>
      </c>
      <c r="F258" s="33" t="s">
        <v>63</v>
      </c>
      <c r="G258" s="33" t="str">
        <f>_xlfn.XLOOKUP(Transactions[[#This Row],[Sub-category]], [1]!TblDV[Sub-category],[1]!TblDV[Category],"")</f>
        <v>Dining Out</v>
      </c>
      <c r="H258" s="33" t="str">
        <f>_xlfn.XLOOKUP(Transactions[[#This Row],[Sub-category]], [1]!TblDV[Sub-category],[1]!TblDV[Category Type],"")</f>
        <v>Expense</v>
      </c>
      <c r="I258" s="34" t="s">
        <v>62</v>
      </c>
    </row>
    <row r="259" spans="1:9" x14ac:dyDescent="0.35">
      <c r="A259" t="s">
        <v>5</v>
      </c>
      <c r="B259" s="30">
        <v>44360</v>
      </c>
      <c r="C259" s="48">
        <v>140.19999999999999</v>
      </c>
      <c r="D259" s="48"/>
      <c r="E259" s="51">
        <f t="shared" si="4"/>
        <v>-140.19999999999999</v>
      </c>
      <c r="F259" s="33" t="s">
        <v>14</v>
      </c>
      <c r="G259" s="33" t="str">
        <f>_xlfn.XLOOKUP(Transactions[[#This Row],[Sub-category]], [1]!TblDV[Sub-category],[1]!TblDV[Category],"")</f>
        <v>Living Expenses</v>
      </c>
      <c r="H259" s="33" t="str">
        <f>_xlfn.XLOOKUP(Transactions[[#This Row],[Sub-category]], [1]!TblDV[Sub-category],[1]!TblDV[Category Type],"")</f>
        <v>Expense</v>
      </c>
      <c r="I259" s="34" t="s">
        <v>66</v>
      </c>
    </row>
    <row r="260" spans="1:9" x14ac:dyDescent="0.35">
      <c r="A260" t="s">
        <v>5</v>
      </c>
      <c r="B260" s="30">
        <v>44360</v>
      </c>
      <c r="C260" s="48">
        <v>5</v>
      </c>
      <c r="D260" s="48"/>
      <c r="E260" s="51">
        <f t="shared" si="4"/>
        <v>-5</v>
      </c>
      <c r="F260" s="33" t="s">
        <v>63</v>
      </c>
      <c r="G260" s="33" t="str">
        <f>_xlfn.XLOOKUP(Transactions[[#This Row],[Sub-category]], [1]!TblDV[Sub-category],[1]!TblDV[Category],"")</f>
        <v>Dining Out</v>
      </c>
      <c r="H260" s="33" t="str">
        <f>_xlfn.XLOOKUP(Transactions[[#This Row],[Sub-category]], [1]!TblDV[Sub-category],[1]!TblDV[Category Type],"")</f>
        <v>Expense</v>
      </c>
      <c r="I260" s="34" t="s">
        <v>62</v>
      </c>
    </row>
    <row r="261" spans="1:9" x14ac:dyDescent="0.35">
      <c r="A261" t="s">
        <v>5</v>
      </c>
      <c r="B261" s="30">
        <v>44361</v>
      </c>
      <c r="C261" s="48">
        <v>5</v>
      </c>
      <c r="D261" s="48"/>
      <c r="E261" s="51">
        <f t="shared" si="4"/>
        <v>-5</v>
      </c>
      <c r="F261" s="33" t="s">
        <v>63</v>
      </c>
      <c r="G261" s="33" t="str">
        <f>_xlfn.XLOOKUP(Transactions[[#This Row],[Sub-category]], [1]!TblDV[Sub-category],[1]!TblDV[Category],"")</f>
        <v>Dining Out</v>
      </c>
      <c r="H261" s="33" t="str">
        <f>_xlfn.XLOOKUP(Transactions[[#This Row],[Sub-category]], [1]!TblDV[Sub-category],[1]!TblDV[Category Type],"")</f>
        <v>Expense</v>
      </c>
      <c r="I261" s="34" t="s">
        <v>62</v>
      </c>
    </row>
    <row r="262" spans="1:9" x14ac:dyDescent="0.35">
      <c r="A262" t="s">
        <v>5</v>
      </c>
      <c r="B262" s="30">
        <v>44361</v>
      </c>
      <c r="C262" s="48">
        <v>44.9</v>
      </c>
      <c r="D262" s="48"/>
      <c r="E262" s="51">
        <f t="shared" si="4"/>
        <v>-44.9</v>
      </c>
      <c r="F262" s="33" t="s">
        <v>15</v>
      </c>
      <c r="G262" s="33" t="str">
        <f>_xlfn.XLOOKUP(Transactions[[#This Row],[Sub-category]], [1]!TblDV[Sub-category],[1]!TblDV[Category],"")</f>
        <v>Discretionary</v>
      </c>
      <c r="H262" s="33" t="str">
        <f>_xlfn.XLOOKUP(Transactions[[#This Row],[Sub-category]], [1]!TblDV[Sub-category],[1]!TblDV[Category Type],"")</f>
        <v>Expense</v>
      </c>
      <c r="I262" s="34" t="s">
        <v>69</v>
      </c>
    </row>
    <row r="263" spans="1:9" x14ac:dyDescent="0.35">
      <c r="A263" t="s">
        <v>5</v>
      </c>
      <c r="B263" s="30">
        <v>44361</v>
      </c>
      <c r="C263" s="48">
        <v>102.9</v>
      </c>
      <c r="D263" s="48"/>
      <c r="E263" s="51">
        <f t="shared" si="4"/>
        <v>-102.9</v>
      </c>
      <c r="F263" s="33" t="s">
        <v>16</v>
      </c>
      <c r="G263" s="33" t="str">
        <f>_xlfn.XLOOKUP(Transactions[[#This Row],[Sub-category]], [1]!TblDV[Sub-category],[1]!TblDV[Category],"")</f>
        <v>Discretionary</v>
      </c>
      <c r="H263" s="33" t="str">
        <f>_xlfn.XLOOKUP(Transactions[[#This Row],[Sub-category]], [1]!TblDV[Sub-category],[1]!TblDV[Category Type],"")</f>
        <v>Expense</v>
      </c>
      <c r="I263" s="34" t="s">
        <v>70</v>
      </c>
    </row>
    <row r="264" spans="1:9" x14ac:dyDescent="0.35">
      <c r="A264" t="s">
        <v>5</v>
      </c>
      <c r="B264" s="30">
        <v>44361</v>
      </c>
      <c r="C264" s="48">
        <v>56.9</v>
      </c>
      <c r="D264" s="48"/>
      <c r="E264" s="51">
        <f t="shared" si="4"/>
        <v>-56.9</v>
      </c>
      <c r="F264" s="33" t="s">
        <v>72</v>
      </c>
      <c r="G264" s="33" t="str">
        <f>_xlfn.XLOOKUP(Transactions[[#This Row],[Sub-category]], [1]!TblDV[Sub-category],[1]!TblDV[Category],"")</f>
        <v>Dining Out</v>
      </c>
      <c r="H264" s="33" t="str">
        <f>_xlfn.XLOOKUP(Transactions[[#This Row],[Sub-category]], [1]!TblDV[Sub-category],[1]!TblDV[Category Type],"")</f>
        <v>Expense</v>
      </c>
      <c r="I264" s="34" t="s">
        <v>71</v>
      </c>
    </row>
    <row r="265" spans="1:9" x14ac:dyDescent="0.35">
      <c r="A265" t="s">
        <v>5</v>
      </c>
      <c r="B265" s="30">
        <v>44362</v>
      </c>
      <c r="C265" s="48">
        <v>33.1</v>
      </c>
      <c r="D265" s="48"/>
      <c r="E265" s="51">
        <f t="shared" si="4"/>
        <v>-33.1</v>
      </c>
      <c r="F265" s="33" t="s">
        <v>27</v>
      </c>
      <c r="G265" s="33" t="str">
        <f>_xlfn.XLOOKUP(Transactions[[#This Row],[Sub-category]], [1]!TblDV[Sub-category],[1]!TblDV[Category],"")</f>
        <v>Transport</v>
      </c>
      <c r="H265" s="33" t="str">
        <f>_xlfn.XLOOKUP(Transactions[[#This Row],[Sub-category]], [1]!TblDV[Sub-category],[1]!TblDV[Category Type],"")</f>
        <v>Expense</v>
      </c>
      <c r="I265" s="34" t="s">
        <v>73</v>
      </c>
    </row>
    <row r="266" spans="1:9" x14ac:dyDescent="0.35">
      <c r="A266" t="s">
        <v>9</v>
      </c>
      <c r="B266" s="30">
        <v>44363</v>
      </c>
      <c r="C266" s="48">
        <v>30</v>
      </c>
      <c r="D266" s="48"/>
      <c r="E266" s="51">
        <f t="shared" si="4"/>
        <v>-30</v>
      </c>
      <c r="F266" s="33" t="s">
        <v>17</v>
      </c>
      <c r="G266" s="33" t="str">
        <f>_xlfn.XLOOKUP(Transactions[[#This Row],[Sub-category]], [1]!TblDV[Sub-category],[1]!TblDV[Category],"")</f>
        <v>Discretionary</v>
      </c>
      <c r="H266" s="33" t="str">
        <f>_xlfn.XLOOKUP(Transactions[[#This Row],[Sub-category]], [1]!TblDV[Sub-category],[1]!TblDV[Category Type],"")</f>
        <v>Expense</v>
      </c>
      <c r="I266" s="34" t="s">
        <v>74</v>
      </c>
    </row>
    <row r="267" spans="1:9" x14ac:dyDescent="0.35">
      <c r="A267" t="s">
        <v>5</v>
      </c>
      <c r="B267" s="30">
        <v>44363</v>
      </c>
      <c r="C267" s="48">
        <v>5</v>
      </c>
      <c r="D267" s="48"/>
      <c r="E267" s="51">
        <f t="shared" si="4"/>
        <v>-5</v>
      </c>
      <c r="F267" s="33" t="s">
        <v>63</v>
      </c>
      <c r="G267" s="33" t="str">
        <f>_xlfn.XLOOKUP(Transactions[[#This Row],[Sub-category]], [1]!TblDV[Sub-category],[1]!TblDV[Category],"")</f>
        <v>Dining Out</v>
      </c>
      <c r="H267" s="33" t="str">
        <f>_xlfn.XLOOKUP(Transactions[[#This Row],[Sub-category]], [1]!TblDV[Sub-category],[1]!TblDV[Category Type],"")</f>
        <v>Expense</v>
      </c>
      <c r="I267" s="34" t="s">
        <v>62</v>
      </c>
    </row>
    <row r="268" spans="1:9" x14ac:dyDescent="0.35">
      <c r="A268" t="s">
        <v>5</v>
      </c>
      <c r="B268" s="30">
        <v>44364</v>
      </c>
      <c r="C268" s="48">
        <v>5</v>
      </c>
      <c r="D268" s="48"/>
      <c r="E268" s="51">
        <f t="shared" si="4"/>
        <v>-5</v>
      </c>
      <c r="F268" s="33" t="s">
        <v>63</v>
      </c>
      <c r="G268" s="33" t="str">
        <f>_xlfn.XLOOKUP(Transactions[[#This Row],[Sub-category]], [1]!TblDV[Sub-category],[1]!TblDV[Category],"")</f>
        <v>Dining Out</v>
      </c>
      <c r="H268" s="33" t="str">
        <f>_xlfn.XLOOKUP(Transactions[[#This Row],[Sub-category]], [1]!TblDV[Sub-category],[1]!TblDV[Category Type],"")</f>
        <v>Expense</v>
      </c>
      <c r="I268" s="34" t="s">
        <v>62</v>
      </c>
    </row>
    <row r="269" spans="1:9" x14ac:dyDescent="0.35">
      <c r="A269" t="s">
        <v>9</v>
      </c>
      <c r="B269" s="30">
        <v>44364</v>
      </c>
      <c r="C269" s="48">
        <v>40</v>
      </c>
      <c r="D269" s="48"/>
      <c r="E269" s="51">
        <f t="shared" si="4"/>
        <v>-40</v>
      </c>
      <c r="F269" s="33" t="s">
        <v>30</v>
      </c>
      <c r="G269" s="33" t="str">
        <f>_xlfn.XLOOKUP(Transactions[[#This Row],[Sub-category]], [1]!TblDV[Sub-category],[1]!TblDV[Category],"")</f>
        <v>Living Expenses</v>
      </c>
      <c r="H269" s="33" t="str">
        <f>_xlfn.XLOOKUP(Transactions[[#This Row],[Sub-category]], [1]!TblDV[Sub-category],[1]!TblDV[Category Type],"")</f>
        <v>Expense</v>
      </c>
      <c r="I269" s="34" t="s">
        <v>76</v>
      </c>
    </row>
    <row r="270" spans="1:9" x14ac:dyDescent="0.35">
      <c r="A270" t="s">
        <v>5</v>
      </c>
      <c r="B270" s="30">
        <v>44365</v>
      </c>
      <c r="C270" s="48">
        <v>50.1</v>
      </c>
      <c r="D270" s="48"/>
      <c r="E270" s="51">
        <f t="shared" si="4"/>
        <v>-50.1</v>
      </c>
      <c r="F270" s="33" t="s">
        <v>22</v>
      </c>
      <c r="G270" s="33" t="str">
        <f>_xlfn.XLOOKUP(Transactions[[#This Row],[Sub-category]], [1]!TblDV[Sub-category],[1]!TblDV[Category],"")</f>
        <v>Discretionary</v>
      </c>
      <c r="H270" s="33" t="str">
        <f>_xlfn.XLOOKUP(Transactions[[#This Row],[Sub-category]], [1]!TblDV[Sub-category],[1]!TblDV[Category Type],"")</f>
        <v>Expense</v>
      </c>
      <c r="I270" s="34" t="s">
        <v>77</v>
      </c>
    </row>
    <row r="271" spans="1:9" x14ac:dyDescent="0.35">
      <c r="A271" t="s">
        <v>5</v>
      </c>
      <c r="B271" s="30">
        <v>44365</v>
      </c>
      <c r="C271" s="48">
        <v>35</v>
      </c>
      <c r="D271" s="48"/>
      <c r="E271" s="51">
        <f t="shared" si="4"/>
        <v>-35</v>
      </c>
      <c r="F271" s="33" t="s">
        <v>15</v>
      </c>
      <c r="G271" s="33" t="str">
        <f>_xlfn.XLOOKUP(Transactions[[#This Row],[Sub-category]], [1]!TblDV[Sub-category],[1]!TblDV[Category],"")</f>
        <v>Discretionary</v>
      </c>
      <c r="H271" s="33" t="str">
        <f>_xlfn.XLOOKUP(Transactions[[#This Row],[Sub-category]], [1]!TblDV[Sub-category],[1]!TblDV[Category Type],"")</f>
        <v>Expense</v>
      </c>
      <c r="I271" s="34" t="s">
        <v>78</v>
      </c>
    </row>
    <row r="272" spans="1:9" x14ac:dyDescent="0.35">
      <c r="A272" t="s">
        <v>5</v>
      </c>
      <c r="B272" s="30">
        <v>44365</v>
      </c>
      <c r="C272" s="48">
        <v>5</v>
      </c>
      <c r="D272" s="48"/>
      <c r="E272" s="51">
        <f t="shared" si="4"/>
        <v>-5</v>
      </c>
      <c r="F272" s="33" t="s">
        <v>63</v>
      </c>
      <c r="G272" s="33" t="str">
        <f>_xlfn.XLOOKUP(Transactions[[#This Row],[Sub-category]], [1]!TblDV[Sub-category],[1]!TblDV[Category],"")</f>
        <v>Dining Out</v>
      </c>
      <c r="H272" s="33" t="str">
        <f>_xlfn.XLOOKUP(Transactions[[#This Row],[Sub-category]], [1]!TblDV[Sub-category],[1]!TblDV[Category Type],"")</f>
        <v>Expense</v>
      </c>
      <c r="I272" s="34" t="s">
        <v>62</v>
      </c>
    </row>
    <row r="273" spans="1:9" x14ac:dyDescent="0.35">
      <c r="A273" t="s">
        <v>5</v>
      </c>
      <c r="B273" s="30">
        <v>44366</v>
      </c>
      <c r="C273" s="48">
        <v>5</v>
      </c>
      <c r="D273" s="48"/>
      <c r="E273" s="51">
        <f t="shared" si="4"/>
        <v>-5</v>
      </c>
      <c r="F273" s="33" t="s">
        <v>63</v>
      </c>
      <c r="G273" s="33" t="str">
        <f>_xlfn.XLOOKUP(Transactions[[#This Row],[Sub-category]], [1]!TblDV[Sub-category],[1]!TblDV[Category],"")</f>
        <v>Dining Out</v>
      </c>
      <c r="H273" s="33" t="str">
        <f>_xlfn.XLOOKUP(Transactions[[#This Row],[Sub-category]], [1]!TblDV[Sub-category],[1]!TblDV[Category Type],"")</f>
        <v>Expense</v>
      </c>
      <c r="I273" s="34" t="s">
        <v>62</v>
      </c>
    </row>
    <row r="274" spans="1:9" x14ac:dyDescent="0.35">
      <c r="A274" t="s">
        <v>5</v>
      </c>
      <c r="B274" s="30">
        <v>44367</v>
      </c>
      <c r="C274" s="48">
        <v>5</v>
      </c>
      <c r="D274" s="48"/>
      <c r="E274" s="51">
        <f t="shared" si="4"/>
        <v>-5</v>
      </c>
      <c r="F274" s="33" t="s">
        <v>63</v>
      </c>
      <c r="G274" s="33" t="str">
        <f>_xlfn.XLOOKUP(Transactions[[#This Row],[Sub-category]], [1]!TblDV[Sub-category],[1]!TblDV[Category],"")</f>
        <v>Dining Out</v>
      </c>
      <c r="H274" s="33" t="str">
        <f>_xlfn.XLOOKUP(Transactions[[#This Row],[Sub-category]], [1]!TblDV[Sub-category],[1]!TblDV[Category Type],"")</f>
        <v>Expense</v>
      </c>
      <c r="I274" s="34" t="s">
        <v>62</v>
      </c>
    </row>
    <row r="275" spans="1:9" x14ac:dyDescent="0.35">
      <c r="A275" t="s">
        <v>5</v>
      </c>
      <c r="B275" s="30">
        <v>44367</v>
      </c>
      <c r="C275" s="48">
        <v>234</v>
      </c>
      <c r="D275" s="48"/>
      <c r="E275" s="51">
        <f t="shared" si="4"/>
        <v>-234</v>
      </c>
      <c r="F275" s="33" t="s">
        <v>14</v>
      </c>
      <c r="G275" s="33" t="str">
        <f>_xlfn.XLOOKUP(Transactions[[#This Row],[Sub-category]], [1]!TblDV[Sub-category],[1]!TblDV[Category],"")</f>
        <v>Living Expenses</v>
      </c>
      <c r="H275" s="33" t="str">
        <f>_xlfn.XLOOKUP(Transactions[[#This Row],[Sub-category]], [1]!TblDV[Sub-category],[1]!TblDV[Category Type],"")</f>
        <v>Expense</v>
      </c>
      <c r="I275" s="34" t="s">
        <v>66</v>
      </c>
    </row>
    <row r="276" spans="1:9" x14ac:dyDescent="0.35">
      <c r="A276" t="s">
        <v>5</v>
      </c>
      <c r="B276" s="30">
        <v>44368</v>
      </c>
      <c r="C276" s="48">
        <v>42.1</v>
      </c>
      <c r="D276" s="48"/>
      <c r="E276" s="51">
        <f t="shared" si="4"/>
        <v>-42.1</v>
      </c>
      <c r="F276" s="33" t="s">
        <v>72</v>
      </c>
      <c r="G276" s="33" t="str">
        <f>_xlfn.XLOOKUP(Transactions[[#This Row],[Sub-category]], [1]!TblDV[Sub-category],[1]!TblDV[Category],"")</f>
        <v>Dining Out</v>
      </c>
      <c r="H276" s="33" t="str">
        <f>_xlfn.XLOOKUP(Transactions[[#This Row],[Sub-category]], [1]!TblDV[Sub-category],[1]!TblDV[Category Type],"")</f>
        <v>Expense</v>
      </c>
      <c r="I276" s="34" t="s">
        <v>79</v>
      </c>
    </row>
    <row r="277" spans="1:9" x14ac:dyDescent="0.35">
      <c r="A277" t="s">
        <v>5</v>
      </c>
      <c r="B277" s="30">
        <v>44369</v>
      </c>
      <c r="C277" s="48">
        <v>17.099999999999998</v>
      </c>
      <c r="D277" s="48"/>
      <c r="E277" s="51">
        <f t="shared" si="4"/>
        <v>-17.099999999999998</v>
      </c>
      <c r="F277" s="33" t="s">
        <v>72</v>
      </c>
      <c r="G277" s="33" t="str">
        <f>_xlfn.XLOOKUP(Transactions[[#This Row],[Sub-category]], [1]!TblDV[Sub-category],[1]!TblDV[Category],"")</f>
        <v>Dining Out</v>
      </c>
      <c r="H277" s="33" t="str">
        <f>_xlfn.XLOOKUP(Transactions[[#This Row],[Sub-category]], [1]!TblDV[Sub-category],[1]!TblDV[Category Type],"")</f>
        <v>Expense</v>
      </c>
      <c r="I277" s="34" t="s">
        <v>80</v>
      </c>
    </row>
    <row r="278" spans="1:9" x14ac:dyDescent="0.35">
      <c r="A278" t="s">
        <v>9</v>
      </c>
      <c r="B278" s="30">
        <v>44370</v>
      </c>
      <c r="C278" s="48">
        <v>55</v>
      </c>
      <c r="D278" s="48"/>
      <c r="E278" s="51">
        <f t="shared" si="4"/>
        <v>-55</v>
      </c>
      <c r="F278" s="33" t="s">
        <v>23</v>
      </c>
      <c r="G278" s="33" t="str">
        <f>_xlfn.XLOOKUP(Transactions[[#This Row],[Sub-category]], [1]!TblDV[Sub-category],[1]!TblDV[Category],"")</f>
        <v>Charity</v>
      </c>
      <c r="H278" s="33" t="str">
        <f>_xlfn.XLOOKUP(Transactions[[#This Row],[Sub-category]], [1]!TblDV[Sub-category],[1]!TblDV[Category Type],"")</f>
        <v>Expense</v>
      </c>
      <c r="I278" s="34" t="s">
        <v>81</v>
      </c>
    </row>
    <row r="279" spans="1:9" x14ac:dyDescent="0.35">
      <c r="A279" t="s">
        <v>5</v>
      </c>
      <c r="B279" s="30">
        <v>44370</v>
      </c>
      <c r="C279" s="48">
        <v>67.900000000000006</v>
      </c>
      <c r="D279" s="48"/>
      <c r="E279" s="51">
        <f t="shared" si="4"/>
        <v>-67.900000000000006</v>
      </c>
      <c r="F279" s="33" t="s">
        <v>13</v>
      </c>
      <c r="G279" s="33" t="str">
        <f>_xlfn.XLOOKUP(Transactions[[#This Row],[Sub-category]], [1]!TblDV[Sub-category],[1]!TblDV[Category],"")</f>
        <v>Transport</v>
      </c>
      <c r="H279" s="33" t="str">
        <f>_xlfn.XLOOKUP(Transactions[[#This Row],[Sub-category]], [1]!TblDV[Sub-category],[1]!TblDV[Category Type],"")</f>
        <v>Expense</v>
      </c>
      <c r="I279" s="34" t="s">
        <v>68</v>
      </c>
    </row>
    <row r="280" spans="1:9" x14ac:dyDescent="0.35">
      <c r="A280" t="s">
        <v>5</v>
      </c>
      <c r="B280" s="30">
        <v>44370</v>
      </c>
      <c r="C280" s="48">
        <v>5</v>
      </c>
      <c r="D280" s="48"/>
      <c r="E280" s="51">
        <f t="shared" si="4"/>
        <v>-5</v>
      </c>
      <c r="F280" s="33" t="s">
        <v>63</v>
      </c>
      <c r="G280" s="33" t="str">
        <f>_xlfn.XLOOKUP(Transactions[[#This Row],[Sub-category]], [1]!TblDV[Sub-category],[1]!TblDV[Category],"")</f>
        <v>Dining Out</v>
      </c>
      <c r="H280" s="33" t="str">
        <f>_xlfn.XLOOKUP(Transactions[[#This Row],[Sub-category]], [1]!TblDV[Sub-category],[1]!TblDV[Category Type],"")</f>
        <v>Expense</v>
      </c>
      <c r="I280" s="34" t="s">
        <v>62</v>
      </c>
    </row>
    <row r="281" spans="1:9" x14ac:dyDescent="0.35">
      <c r="A281" t="s">
        <v>5</v>
      </c>
      <c r="B281" s="30">
        <v>44371</v>
      </c>
      <c r="C281" s="48">
        <v>5</v>
      </c>
      <c r="D281" s="48"/>
      <c r="E281" s="51">
        <f t="shared" si="4"/>
        <v>-5</v>
      </c>
      <c r="F281" s="33" t="s">
        <v>63</v>
      </c>
      <c r="G281" s="33" t="str">
        <f>_xlfn.XLOOKUP(Transactions[[#This Row],[Sub-category]], [1]!TblDV[Sub-category],[1]!TblDV[Category],"")</f>
        <v>Dining Out</v>
      </c>
      <c r="H281" s="33" t="str">
        <f>_xlfn.XLOOKUP(Transactions[[#This Row],[Sub-category]], [1]!TblDV[Sub-category],[1]!TblDV[Category Type],"")</f>
        <v>Expense</v>
      </c>
      <c r="I281" s="34" t="s">
        <v>62</v>
      </c>
    </row>
    <row r="282" spans="1:9" x14ac:dyDescent="0.35">
      <c r="A282" t="s">
        <v>5</v>
      </c>
      <c r="B282" s="30">
        <v>44372</v>
      </c>
      <c r="C282" s="48">
        <v>5</v>
      </c>
      <c r="D282" s="48"/>
      <c r="E282" s="51">
        <f t="shared" si="4"/>
        <v>-5</v>
      </c>
      <c r="F282" s="33" t="s">
        <v>63</v>
      </c>
      <c r="G282" s="33" t="str">
        <f>_xlfn.XLOOKUP(Transactions[[#This Row],[Sub-category]], [1]!TblDV[Sub-category],[1]!TblDV[Category],"")</f>
        <v>Dining Out</v>
      </c>
      <c r="H282" s="33" t="str">
        <f>_xlfn.XLOOKUP(Transactions[[#This Row],[Sub-category]], [1]!TblDV[Sub-category],[1]!TblDV[Category Type],"")</f>
        <v>Expense</v>
      </c>
      <c r="I282" s="34" t="s">
        <v>62</v>
      </c>
    </row>
    <row r="283" spans="1:9" x14ac:dyDescent="0.35">
      <c r="A283" t="s">
        <v>5</v>
      </c>
      <c r="B283" s="30">
        <v>44373</v>
      </c>
      <c r="C283" s="48">
        <v>5</v>
      </c>
      <c r="D283" s="48"/>
      <c r="E283" s="51">
        <f t="shared" si="4"/>
        <v>-5</v>
      </c>
      <c r="F283" s="33" t="s">
        <v>63</v>
      </c>
      <c r="G283" s="33" t="str">
        <f>_xlfn.XLOOKUP(Transactions[[#This Row],[Sub-category]], [1]!TblDV[Sub-category],[1]!TblDV[Category],"")</f>
        <v>Dining Out</v>
      </c>
      <c r="H283" s="33" t="str">
        <f>_xlfn.XLOOKUP(Transactions[[#This Row],[Sub-category]], [1]!TblDV[Sub-category],[1]!TblDV[Category Type],"")</f>
        <v>Expense</v>
      </c>
      <c r="I283" s="34" t="s">
        <v>62</v>
      </c>
    </row>
    <row r="284" spans="1:9" x14ac:dyDescent="0.35">
      <c r="A284" t="s">
        <v>5</v>
      </c>
      <c r="B284" s="30">
        <v>44374</v>
      </c>
      <c r="C284" s="48">
        <v>5</v>
      </c>
      <c r="D284" s="48"/>
      <c r="E284" s="51">
        <f t="shared" si="4"/>
        <v>-5</v>
      </c>
      <c r="F284" s="33" t="s">
        <v>63</v>
      </c>
      <c r="G284" s="33" t="str">
        <f>_xlfn.XLOOKUP(Transactions[[#This Row],[Sub-category]], [1]!TblDV[Sub-category],[1]!TblDV[Category],"")</f>
        <v>Dining Out</v>
      </c>
      <c r="H284" s="33" t="str">
        <f>_xlfn.XLOOKUP(Transactions[[#This Row],[Sub-category]], [1]!TblDV[Sub-category],[1]!TblDV[Category Type],"")</f>
        <v>Expense</v>
      </c>
      <c r="I284" s="34" t="s">
        <v>62</v>
      </c>
    </row>
    <row r="285" spans="1:9" x14ac:dyDescent="0.35">
      <c r="A285" t="s">
        <v>5</v>
      </c>
      <c r="B285" s="30">
        <v>44374</v>
      </c>
      <c r="C285" s="48">
        <v>166.9</v>
      </c>
      <c r="D285" s="48"/>
      <c r="E285" s="51">
        <f t="shared" si="4"/>
        <v>-166.9</v>
      </c>
      <c r="F285" s="33" t="s">
        <v>14</v>
      </c>
      <c r="G285" s="33" t="str">
        <f>_xlfn.XLOOKUP(Transactions[[#This Row],[Sub-category]], [1]!TblDV[Sub-category],[1]!TblDV[Category],"")</f>
        <v>Living Expenses</v>
      </c>
      <c r="H285" s="33" t="str">
        <f>_xlfn.XLOOKUP(Transactions[[#This Row],[Sub-category]], [1]!TblDV[Sub-category],[1]!TblDV[Category Type],"")</f>
        <v>Expense</v>
      </c>
      <c r="I285" s="34" t="s">
        <v>66</v>
      </c>
    </row>
    <row r="286" spans="1:9" x14ac:dyDescent="0.35">
      <c r="A286" t="s">
        <v>5</v>
      </c>
      <c r="B286" s="30">
        <v>44375</v>
      </c>
      <c r="C286" s="48">
        <v>129.9</v>
      </c>
      <c r="D286" s="48"/>
      <c r="E286" s="51">
        <f t="shared" si="4"/>
        <v>-129.9</v>
      </c>
      <c r="F286" s="33" t="s">
        <v>16</v>
      </c>
      <c r="G286" s="33" t="str">
        <f>_xlfn.XLOOKUP(Transactions[[#This Row],[Sub-category]], [1]!TblDV[Sub-category],[1]!TblDV[Category],"")</f>
        <v>Discretionary</v>
      </c>
      <c r="H286" s="33" t="str">
        <f>_xlfn.XLOOKUP(Transactions[[#This Row],[Sub-category]], [1]!TblDV[Sub-category],[1]!TblDV[Category Type],"")</f>
        <v>Expense</v>
      </c>
      <c r="I286" s="34" t="s">
        <v>82</v>
      </c>
    </row>
    <row r="287" spans="1:9" x14ac:dyDescent="0.35">
      <c r="A287" t="s">
        <v>5</v>
      </c>
      <c r="B287" s="30">
        <v>44375</v>
      </c>
      <c r="C287" s="48">
        <v>180.29999999999998</v>
      </c>
      <c r="D287" s="48"/>
      <c r="E287" s="51">
        <f t="shared" si="4"/>
        <v>-180.29999999999998</v>
      </c>
      <c r="F287" s="33" t="s">
        <v>15</v>
      </c>
      <c r="G287" s="33" t="str">
        <f>_xlfn.XLOOKUP(Transactions[[#This Row],[Sub-category]], [1]!TblDV[Sub-category],[1]!TblDV[Category],"")</f>
        <v>Discretionary</v>
      </c>
      <c r="H287" s="33" t="str">
        <f>_xlfn.XLOOKUP(Transactions[[#This Row],[Sub-category]], [1]!TblDV[Sub-category],[1]!TblDV[Category Type],"")</f>
        <v>Expense</v>
      </c>
      <c r="I287" s="34" t="s">
        <v>83</v>
      </c>
    </row>
    <row r="288" spans="1:9" x14ac:dyDescent="0.35">
      <c r="A288" t="s">
        <v>5</v>
      </c>
      <c r="B288" s="30">
        <v>44376</v>
      </c>
      <c r="C288" s="48">
        <v>150.1</v>
      </c>
      <c r="D288" s="48"/>
      <c r="E288" s="51">
        <f t="shared" si="4"/>
        <v>-150.1</v>
      </c>
      <c r="F288" s="33" t="s">
        <v>16</v>
      </c>
      <c r="G288" s="33" t="str">
        <f>_xlfn.XLOOKUP(Transactions[[#This Row],[Sub-category]], [1]!TblDV[Sub-category],[1]!TblDV[Category],"")</f>
        <v>Discretionary</v>
      </c>
      <c r="H288" s="33" t="str">
        <f>_xlfn.XLOOKUP(Transactions[[#This Row],[Sub-category]], [1]!TblDV[Sub-category],[1]!TblDV[Category Type],"")</f>
        <v>Expense</v>
      </c>
      <c r="I288" s="34" t="s">
        <v>70</v>
      </c>
    </row>
    <row r="289" spans="1:9" x14ac:dyDescent="0.35">
      <c r="A289" t="s">
        <v>5</v>
      </c>
      <c r="B289" s="30">
        <v>44376</v>
      </c>
      <c r="C289" s="48">
        <v>28.200000000000003</v>
      </c>
      <c r="D289" s="48"/>
      <c r="E289" s="51">
        <f t="shared" si="4"/>
        <v>-28.200000000000003</v>
      </c>
      <c r="F289" s="33" t="s">
        <v>27</v>
      </c>
      <c r="G289" s="33" t="str">
        <f>_xlfn.XLOOKUP(Transactions[[#This Row],[Sub-category]], [1]!TblDV[Sub-category],[1]!TblDV[Category],"")</f>
        <v>Transport</v>
      </c>
      <c r="H289" s="33" t="str">
        <f>_xlfn.XLOOKUP(Transactions[[#This Row],[Sub-category]], [1]!TblDV[Sub-category],[1]!TblDV[Category Type],"")</f>
        <v>Expense</v>
      </c>
      <c r="I289" s="34" t="s">
        <v>73</v>
      </c>
    </row>
    <row r="290" spans="1:9" x14ac:dyDescent="0.35">
      <c r="A290" t="s">
        <v>5</v>
      </c>
      <c r="B290" s="30">
        <v>44376</v>
      </c>
      <c r="C290" s="48">
        <v>15</v>
      </c>
      <c r="D290" s="48"/>
      <c r="E290" s="51">
        <f t="shared" si="4"/>
        <v>-15</v>
      </c>
      <c r="F290" s="33" t="s">
        <v>72</v>
      </c>
      <c r="G290" s="33" t="str">
        <f>_xlfn.XLOOKUP(Transactions[[#This Row],[Sub-category]], [1]!TblDV[Sub-category],[1]!TblDV[Category],"")</f>
        <v>Dining Out</v>
      </c>
      <c r="H290" s="33" t="str">
        <f>_xlfn.XLOOKUP(Transactions[[#This Row],[Sub-category]], [1]!TblDV[Sub-category],[1]!TblDV[Category Type],"")</f>
        <v>Expense</v>
      </c>
      <c r="I290" s="34" t="s">
        <v>87</v>
      </c>
    </row>
    <row r="291" spans="1:9" x14ac:dyDescent="0.35">
      <c r="A291" t="s">
        <v>5</v>
      </c>
      <c r="B291" s="30">
        <v>44377</v>
      </c>
      <c r="C291" s="48">
        <v>5</v>
      </c>
      <c r="D291" s="48"/>
      <c r="E291" s="51">
        <f t="shared" si="4"/>
        <v>-5</v>
      </c>
      <c r="F291" s="33" t="s">
        <v>63</v>
      </c>
      <c r="G291" s="33" t="str">
        <f>_xlfn.XLOOKUP(Transactions[[#This Row],[Sub-category]], [1]!TblDV[Sub-category],[1]!TblDV[Category],"")</f>
        <v>Dining Out</v>
      </c>
      <c r="H291" s="33" t="str">
        <f>_xlfn.XLOOKUP(Transactions[[#This Row],[Sub-category]], [1]!TblDV[Sub-category],[1]!TblDV[Category Type],"")</f>
        <v>Expense</v>
      </c>
      <c r="I291" s="34" t="s">
        <v>62</v>
      </c>
    </row>
    <row r="292" spans="1:9" x14ac:dyDescent="0.35">
      <c r="A292" t="s">
        <v>5</v>
      </c>
      <c r="B292" s="30">
        <v>44378</v>
      </c>
      <c r="C292" s="48">
        <v>5</v>
      </c>
      <c r="D292" s="48"/>
      <c r="E292" s="51">
        <f t="shared" si="4"/>
        <v>-5</v>
      </c>
      <c r="F292" s="33" t="s">
        <v>63</v>
      </c>
      <c r="G292" s="33" t="str">
        <f>_xlfn.XLOOKUP(Transactions[[#This Row],[Sub-category]], [1]!TblDV[Sub-category],[1]!TblDV[Category],"")</f>
        <v>Dining Out</v>
      </c>
      <c r="H292" s="33" t="str">
        <f>_xlfn.XLOOKUP(Transactions[[#This Row],[Sub-category]], [1]!TblDV[Sub-category],[1]!TblDV[Category Type],"")</f>
        <v>Expense</v>
      </c>
      <c r="I292" s="34" t="s">
        <v>62</v>
      </c>
    </row>
    <row r="293" spans="1:9" x14ac:dyDescent="0.35">
      <c r="A293" t="s">
        <v>9</v>
      </c>
      <c r="B293" s="30">
        <v>44379</v>
      </c>
      <c r="C293" s="48"/>
      <c r="D293" s="48">
        <v>4000</v>
      </c>
      <c r="E293" s="51">
        <f t="shared" si="4"/>
        <v>4000</v>
      </c>
      <c r="F293" s="33" t="s">
        <v>7</v>
      </c>
      <c r="G293" s="33" t="str">
        <f>_xlfn.XLOOKUP(Transactions[[#This Row],[Sub-category]], [1]!TblDV[Sub-category],[1]!TblDV[Category],"")</f>
        <v>Salary</v>
      </c>
      <c r="H293" s="33" t="str">
        <f>_xlfn.XLOOKUP(Transactions[[#This Row],[Sub-category]], [1]!TblDV[Sub-category],[1]!TblDV[Category Type],"")</f>
        <v>Income</v>
      </c>
      <c r="I293" s="34" t="s">
        <v>61</v>
      </c>
    </row>
    <row r="294" spans="1:9" x14ac:dyDescent="0.35">
      <c r="A294" t="s">
        <v>5</v>
      </c>
      <c r="B294" s="30">
        <v>44380</v>
      </c>
      <c r="C294" s="48">
        <v>5</v>
      </c>
      <c r="D294" s="48"/>
      <c r="E294" s="51">
        <f t="shared" si="4"/>
        <v>-5</v>
      </c>
      <c r="F294" s="33" t="s">
        <v>63</v>
      </c>
      <c r="G294" s="33" t="str">
        <f>_xlfn.XLOOKUP(Transactions[[#This Row],[Sub-category]], [1]!TblDV[Sub-category],[1]!TblDV[Category],"")</f>
        <v>Dining Out</v>
      </c>
      <c r="H294" s="33" t="str">
        <f>_xlfn.XLOOKUP(Transactions[[#This Row],[Sub-category]], [1]!TblDV[Sub-category],[1]!TblDV[Category Type],"")</f>
        <v>Expense</v>
      </c>
      <c r="I294" s="34" t="s">
        <v>62</v>
      </c>
    </row>
    <row r="295" spans="1:9" x14ac:dyDescent="0.35">
      <c r="A295" t="s">
        <v>9</v>
      </c>
      <c r="B295" s="30">
        <v>44382</v>
      </c>
      <c r="C295" s="48">
        <v>900</v>
      </c>
      <c r="D295" s="48"/>
      <c r="E295" s="51">
        <f t="shared" si="4"/>
        <v>-900</v>
      </c>
      <c r="F295" s="33" t="s">
        <v>10</v>
      </c>
      <c r="G295" s="33" t="str">
        <f>_xlfn.XLOOKUP(Transactions[[#This Row],[Sub-category]], [1]!TblDV[Sub-category],[1]!TblDV[Category],"")</f>
        <v>Living Expenses</v>
      </c>
      <c r="H295" s="33" t="str">
        <f>_xlfn.XLOOKUP(Transactions[[#This Row],[Sub-category]], [1]!TblDV[Sub-category],[1]!TblDV[Category Type],"")</f>
        <v>Expense</v>
      </c>
      <c r="I295" s="34" t="s">
        <v>64</v>
      </c>
    </row>
    <row r="296" spans="1:9" x14ac:dyDescent="0.35">
      <c r="A296" t="s">
        <v>9</v>
      </c>
      <c r="B296" s="30">
        <v>44382</v>
      </c>
      <c r="C296" s="48">
        <v>150</v>
      </c>
      <c r="D296" s="48"/>
      <c r="E296" s="51">
        <f t="shared" si="4"/>
        <v>-150</v>
      </c>
      <c r="F296" s="33" t="s">
        <v>29</v>
      </c>
      <c r="G296" s="33" t="str">
        <f>_xlfn.XLOOKUP(Transactions[[#This Row],[Sub-category]], [1]!TblDV[Sub-category],[1]!TblDV[Category],"")</f>
        <v>Transport</v>
      </c>
      <c r="H296" s="33" t="str">
        <f>_xlfn.XLOOKUP(Transactions[[#This Row],[Sub-category]], [1]!TblDV[Sub-category],[1]!TblDV[Category Type],"")</f>
        <v>Expense</v>
      </c>
      <c r="I296" s="34" t="s">
        <v>65</v>
      </c>
    </row>
    <row r="297" spans="1:9" x14ac:dyDescent="0.35">
      <c r="A297" t="s">
        <v>5</v>
      </c>
      <c r="B297" s="30">
        <v>44382</v>
      </c>
      <c r="C297" s="48">
        <v>15</v>
      </c>
      <c r="D297" s="48"/>
      <c r="E297" s="51">
        <f t="shared" si="4"/>
        <v>-15</v>
      </c>
      <c r="F297" s="33" t="s">
        <v>72</v>
      </c>
      <c r="G297" s="33" t="str">
        <f>_xlfn.XLOOKUP(Transactions[[#This Row],[Sub-category]], [1]!TblDV[Sub-category],[1]!TblDV[Category],"")</f>
        <v>Dining Out</v>
      </c>
      <c r="H297" s="33" t="str">
        <f>_xlfn.XLOOKUP(Transactions[[#This Row],[Sub-category]], [1]!TblDV[Sub-category],[1]!TblDV[Category Type],"")</f>
        <v>Expense</v>
      </c>
      <c r="I297" s="34" t="s">
        <v>90</v>
      </c>
    </row>
    <row r="298" spans="1:9" x14ac:dyDescent="0.35">
      <c r="A298" t="s">
        <v>5</v>
      </c>
      <c r="B298" s="30">
        <v>44382</v>
      </c>
      <c r="C298" s="48">
        <v>5</v>
      </c>
      <c r="D298" s="48"/>
      <c r="E298" s="51">
        <f t="shared" si="4"/>
        <v>-5</v>
      </c>
      <c r="F298" s="33" t="s">
        <v>63</v>
      </c>
      <c r="G298" s="33" t="str">
        <f>_xlfn.XLOOKUP(Transactions[[#This Row],[Sub-category]], [1]!TblDV[Sub-category],[1]!TblDV[Category],"")</f>
        <v>Dining Out</v>
      </c>
      <c r="H298" s="33" t="str">
        <f>_xlfn.XLOOKUP(Transactions[[#This Row],[Sub-category]], [1]!TblDV[Sub-category],[1]!TblDV[Category Type],"")</f>
        <v>Expense</v>
      </c>
      <c r="I298" s="34" t="s">
        <v>62</v>
      </c>
    </row>
    <row r="299" spans="1:9" x14ac:dyDescent="0.35">
      <c r="A299" t="s">
        <v>5</v>
      </c>
      <c r="B299" s="30">
        <v>44383</v>
      </c>
      <c r="C299" s="48">
        <v>5</v>
      </c>
      <c r="D299" s="48"/>
      <c r="E299" s="51">
        <f t="shared" si="4"/>
        <v>-5</v>
      </c>
      <c r="F299" s="33" t="s">
        <v>63</v>
      </c>
      <c r="G299" s="33" t="str">
        <f>_xlfn.XLOOKUP(Transactions[[#This Row],[Sub-category]], [1]!TblDV[Sub-category],[1]!TblDV[Category],"")</f>
        <v>Dining Out</v>
      </c>
      <c r="H299" s="33" t="str">
        <f>_xlfn.XLOOKUP(Transactions[[#This Row],[Sub-category]], [1]!TblDV[Sub-category],[1]!TblDV[Category Type],"")</f>
        <v>Expense</v>
      </c>
      <c r="I299" s="34" t="s">
        <v>62</v>
      </c>
    </row>
    <row r="300" spans="1:9" x14ac:dyDescent="0.35">
      <c r="A300" t="s">
        <v>5</v>
      </c>
      <c r="B300" s="30">
        <v>44384</v>
      </c>
      <c r="C300" s="48">
        <v>5</v>
      </c>
      <c r="D300" s="48"/>
      <c r="E300" s="51">
        <f t="shared" si="4"/>
        <v>-5</v>
      </c>
      <c r="F300" s="33" t="s">
        <v>63</v>
      </c>
      <c r="G300" s="33" t="str">
        <f>_xlfn.XLOOKUP(Transactions[[#This Row],[Sub-category]], [1]!TblDV[Sub-category],[1]!TblDV[Category],"")</f>
        <v>Dining Out</v>
      </c>
      <c r="H300" s="33" t="str">
        <f>_xlfn.XLOOKUP(Transactions[[#This Row],[Sub-category]], [1]!TblDV[Sub-category],[1]!TblDV[Category Type],"")</f>
        <v>Expense</v>
      </c>
      <c r="I300" s="34" t="s">
        <v>62</v>
      </c>
    </row>
    <row r="301" spans="1:9" x14ac:dyDescent="0.35">
      <c r="A301" t="s">
        <v>5</v>
      </c>
      <c r="B301" s="30">
        <v>44384</v>
      </c>
      <c r="C301" s="48">
        <v>180</v>
      </c>
      <c r="D301" s="48"/>
      <c r="E301" s="51">
        <f t="shared" si="4"/>
        <v>-180</v>
      </c>
      <c r="F301" s="33" t="s">
        <v>14</v>
      </c>
      <c r="G301" s="33" t="str">
        <f>_xlfn.XLOOKUP(Transactions[[#This Row],[Sub-category]], [1]!TblDV[Sub-category],[1]!TblDV[Category],"")</f>
        <v>Living Expenses</v>
      </c>
      <c r="H301" s="33" t="str">
        <f>_xlfn.XLOOKUP(Transactions[[#This Row],[Sub-category]], [1]!TblDV[Sub-category],[1]!TblDV[Category Type],"")</f>
        <v>Expense</v>
      </c>
      <c r="I301" s="34" t="s">
        <v>66</v>
      </c>
    </row>
    <row r="302" spans="1:9" x14ac:dyDescent="0.35">
      <c r="A302" t="s">
        <v>9</v>
      </c>
      <c r="B302" s="30">
        <v>44387</v>
      </c>
      <c r="C302" s="48">
        <v>56.1</v>
      </c>
      <c r="D302" s="48"/>
      <c r="E302" s="51">
        <f t="shared" si="4"/>
        <v>-56.1</v>
      </c>
      <c r="F302" s="33" t="s">
        <v>12</v>
      </c>
      <c r="G302" s="33" t="str">
        <f>_xlfn.XLOOKUP(Transactions[[#This Row],[Sub-category]], [1]!TblDV[Sub-category],[1]!TblDV[Category],"")</f>
        <v>Living Expenses</v>
      </c>
      <c r="H302" s="33" t="str">
        <f>_xlfn.XLOOKUP(Transactions[[#This Row],[Sub-category]], [1]!TblDV[Sub-category],[1]!TblDV[Category Type],"")</f>
        <v>Expense</v>
      </c>
      <c r="I302" s="34" t="s">
        <v>67</v>
      </c>
    </row>
    <row r="303" spans="1:9" x14ac:dyDescent="0.35">
      <c r="A303" t="s">
        <v>5</v>
      </c>
      <c r="B303" s="30">
        <v>44387</v>
      </c>
      <c r="C303" s="48">
        <v>5</v>
      </c>
      <c r="D303" s="48"/>
      <c r="E303" s="51">
        <f t="shared" si="4"/>
        <v>-5</v>
      </c>
      <c r="F303" s="33" t="s">
        <v>63</v>
      </c>
      <c r="G303" s="33" t="str">
        <f>_xlfn.XLOOKUP(Transactions[[#This Row],[Sub-category]], [1]!TblDV[Sub-category],[1]!TblDV[Category],"")</f>
        <v>Dining Out</v>
      </c>
      <c r="H303" s="33" t="str">
        <f>_xlfn.XLOOKUP(Transactions[[#This Row],[Sub-category]], [1]!TblDV[Sub-category],[1]!TblDV[Category Type],"")</f>
        <v>Expense</v>
      </c>
      <c r="I303" s="34" t="s">
        <v>62</v>
      </c>
    </row>
    <row r="304" spans="1:9" x14ac:dyDescent="0.35">
      <c r="A304" t="s">
        <v>5</v>
      </c>
      <c r="B304" s="30">
        <v>44388</v>
      </c>
      <c r="C304" s="48">
        <v>5</v>
      </c>
      <c r="D304" s="48"/>
      <c r="E304" s="51">
        <f t="shared" si="4"/>
        <v>-5</v>
      </c>
      <c r="F304" s="33" t="s">
        <v>63</v>
      </c>
      <c r="G304" s="33" t="str">
        <f>_xlfn.XLOOKUP(Transactions[[#This Row],[Sub-category]], [1]!TblDV[Sub-category],[1]!TblDV[Category],"")</f>
        <v>Dining Out</v>
      </c>
      <c r="H304" s="33" t="str">
        <f>_xlfn.XLOOKUP(Transactions[[#This Row],[Sub-category]], [1]!TblDV[Sub-category],[1]!TblDV[Category Type],"")</f>
        <v>Expense</v>
      </c>
      <c r="I304" s="34" t="s">
        <v>62</v>
      </c>
    </row>
    <row r="305" spans="1:9" x14ac:dyDescent="0.35">
      <c r="A305" t="s">
        <v>5</v>
      </c>
      <c r="B305" s="30">
        <v>44389</v>
      </c>
      <c r="C305" s="48">
        <v>83.1</v>
      </c>
      <c r="D305" s="48"/>
      <c r="E305" s="51">
        <f t="shared" si="4"/>
        <v>-83.1</v>
      </c>
      <c r="F305" s="33" t="s">
        <v>13</v>
      </c>
      <c r="G305" s="33" t="str">
        <f>_xlfn.XLOOKUP(Transactions[[#This Row],[Sub-category]], [1]!TblDV[Sub-category],[1]!TblDV[Category],"")</f>
        <v>Transport</v>
      </c>
      <c r="H305" s="33" t="str">
        <f>_xlfn.XLOOKUP(Transactions[[#This Row],[Sub-category]], [1]!TblDV[Sub-category],[1]!TblDV[Category Type],"")</f>
        <v>Expense</v>
      </c>
      <c r="I305" s="34" t="s">
        <v>68</v>
      </c>
    </row>
    <row r="306" spans="1:9" x14ac:dyDescent="0.35">
      <c r="A306" t="s">
        <v>5</v>
      </c>
      <c r="B306" s="30">
        <v>44389</v>
      </c>
      <c r="C306" s="48">
        <v>5</v>
      </c>
      <c r="D306" s="48"/>
      <c r="E306" s="51">
        <f t="shared" si="4"/>
        <v>-5</v>
      </c>
      <c r="F306" s="33" t="s">
        <v>63</v>
      </c>
      <c r="G306" s="33" t="str">
        <f>_xlfn.XLOOKUP(Transactions[[#This Row],[Sub-category]], [1]!TblDV[Sub-category],[1]!TblDV[Category],"")</f>
        <v>Dining Out</v>
      </c>
      <c r="H306" s="33" t="str">
        <f>_xlfn.XLOOKUP(Transactions[[#This Row],[Sub-category]], [1]!TblDV[Sub-category],[1]!TblDV[Category Type],"")</f>
        <v>Expense</v>
      </c>
      <c r="I306" s="34" t="s">
        <v>62</v>
      </c>
    </row>
    <row r="307" spans="1:9" x14ac:dyDescent="0.35">
      <c r="A307" t="s">
        <v>5</v>
      </c>
      <c r="B307" s="30">
        <v>44390</v>
      </c>
      <c r="C307" s="48">
        <v>5</v>
      </c>
      <c r="D307" s="48"/>
      <c r="E307" s="51">
        <f t="shared" si="4"/>
        <v>-5</v>
      </c>
      <c r="F307" s="33" t="s">
        <v>63</v>
      </c>
      <c r="G307" s="33" t="str">
        <f>_xlfn.XLOOKUP(Transactions[[#This Row],[Sub-category]], [1]!TblDV[Sub-category],[1]!TblDV[Category],"")</f>
        <v>Dining Out</v>
      </c>
      <c r="H307" s="33" t="str">
        <f>_xlfn.XLOOKUP(Transactions[[#This Row],[Sub-category]], [1]!TblDV[Sub-category],[1]!TblDV[Category Type],"")</f>
        <v>Expense</v>
      </c>
      <c r="I307" s="34" t="s">
        <v>62</v>
      </c>
    </row>
    <row r="308" spans="1:9" x14ac:dyDescent="0.35">
      <c r="A308" t="s">
        <v>5</v>
      </c>
      <c r="B308" s="30">
        <v>44391</v>
      </c>
      <c r="C308" s="48">
        <v>141.1</v>
      </c>
      <c r="D308" s="48"/>
      <c r="E308" s="51">
        <f t="shared" si="4"/>
        <v>-141.1</v>
      </c>
      <c r="F308" s="33" t="s">
        <v>14</v>
      </c>
      <c r="G308" s="33" t="str">
        <f>_xlfn.XLOOKUP(Transactions[[#This Row],[Sub-category]], [1]!TblDV[Sub-category],[1]!TblDV[Category],"")</f>
        <v>Living Expenses</v>
      </c>
      <c r="H308" s="33" t="str">
        <f>_xlfn.XLOOKUP(Transactions[[#This Row],[Sub-category]], [1]!TblDV[Sub-category],[1]!TblDV[Category Type],"")</f>
        <v>Expense</v>
      </c>
      <c r="I308" s="34" t="s">
        <v>66</v>
      </c>
    </row>
    <row r="309" spans="1:9" x14ac:dyDescent="0.35">
      <c r="A309" t="s">
        <v>5</v>
      </c>
      <c r="B309" s="30">
        <v>44391</v>
      </c>
      <c r="C309" s="48">
        <v>5</v>
      </c>
      <c r="D309" s="48"/>
      <c r="E309" s="51">
        <f t="shared" si="4"/>
        <v>-5</v>
      </c>
      <c r="F309" s="33" t="s">
        <v>63</v>
      </c>
      <c r="G309" s="33" t="str">
        <f>_xlfn.XLOOKUP(Transactions[[#This Row],[Sub-category]], [1]!TblDV[Sub-category],[1]!TblDV[Category],"")</f>
        <v>Dining Out</v>
      </c>
      <c r="H309" s="33" t="str">
        <f>_xlfn.XLOOKUP(Transactions[[#This Row],[Sub-category]], [1]!TblDV[Sub-category],[1]!TblDV[Category Type],"")</f>
        <v>Expense</v>
      </c>
      <c r="I309" s="34" t="s">
        <v>62</v>
      </c>
    </row>
    <row r="310" spans="1:9" x14ac:dyDescent="0.35">
      <c r="A310" t="s">
        <v>5</v>
      </c>
      <c r="B310" s="30">
        <v>44392</v>
      </c>
      <c r="C310" s="48">
        <v>5</v>
      </c>
      <c r="D310" s="48"/>
      <c r="E310" s="51">
        <f t="shared" si="4"/>
        <v>-5</v>
      </c>
      <c r="F310" s="33" t="s">
        <v>63</v>
      </c>
      <c r="G310" s="33" t="str">
        <f>_xlfn.XLOOKUP(Transactions[[#This Row],[Sub-category]], [1]!TblDV[Sub-category],[1]!TblDV[Category],"")</f>
        <v>Dining Out</v>
      </c>
      <c r="H310" s="33" t="str">
        <f>_xlfn.XLOOKUP(Transactions[[#This Row],[Sub-category]], [1]!TblDV[Sub-category],[1]!TblDV[Category Type],"")</f>
        <v>Expense</v>
      </c>
      <c r="I310" s="34" t="s">
        <v>62</v>
      </c>
    </row>
    <row r="311" spans="1:9" x14ac:dyDescent="0.35">
      <c r="A311" t="s">
        <v>5</v>
      </c>
      <c r="B311" s="30">
        <v>44392</v>
      </c>
      <c r="C311" s="48">
        <v>45.8</v>
      </c>
      <c r="D311" s="48"/>
      <c r="E311" s="51">
        <f t="shared" si="4"/>
        <v>-45.8</v>
      </c>
      <c r="F311" s="33" t="s">
        <v>15</v>
      </c>
      <c r="G311" s="33" t="str">
        <f>_xlfn.XLOOKUP(Transactions[[#This Row],[Sub-category]], [1]!TblDV[Sub-category],[1]!TblDV[Category],"")</f>
        <v>Discretionary</v>
      </c>
      <c r="H311" s="33" t="str">
        <f>_xlfn.XLOOKUP(Transactions[[#This Row],[Sub-category]], [1]!TblDV[Sub-category],[1]!TblDV[Category Type],"")</f>
        <v>Expense</v>
      </c>
      <c r="I311" s="34" t="s">
        <v>69</v>
      </c>
    </row>
    <row r="312" spans="1:9" x14ac:dyDescent="0.35">
      <c r="A312" t="s">
        <v>5</v>
      </c>
      <c r="B312" s="30">
        <v>44392</v>
      </c>
      <c r="C312" s="48">
        <v>103.80000000000001</v>
      </c>
      <c r="D312" s="48"/>
      <c r="E312" s="51">
        <f t="shared" si="4"/>
        <v>-103.80000000000001</v>
      </c>
      <c r="F312" s="33" t="s">
        <v>16</v>
      </c>
      <c r="G312" s="33" t="str">
        <f>_xlfn.XLOOKUP(Transactions[[#This Row],[Sub-category]], [1]!TblDV[Sub-category],[1]!TblDV[Category],"")</f>
        <v>Discretionary</v>
      </c>
      <c r="H312" s="33" t="str">
        <f>_xlfn.XLOOKUP(Transactions[[#This Row],[Sub-category]], [1]!TblDV[Sub-category],[1]!TblDV[Category Type],"")</f>
        <v>Expense</v>
      </c>
      <c r="I312" s="34" t="s">
        <v>70</v>
      </c>
    </row>
    <row r="313" spans="1:9" x14ac:dyDescent="0.35">
      <c r="A313" t="s">
        <v>5</v>
      </c>
      <c r="B313" s="30">
        <v>44392</v>
      </c>
      <c r="C313" s="48">
        <v>58</v>
      </c>
      <c r="D313" s="48"/>
      <c r="E313" s="51">
        <f t="shared" si="4"/>
        <v>-58</v>
      </c>
      <c r="F313" s="33" t="s">
        <v>72</v>
      </c>
      <c r="G313" s="33" t="str">
        <f>_xlfn.XLOOKUP(Transactions[[#This Row],[Sub-category]], [1]!TblDV[Sub-category],[1]!TblDV[Category],"")</f>
        <v>Dining Out</v>
      </c>
      <c r="H313" s="33" t="str">
        <f>_xlfn.XLOOKUP(Transactions[[#This Row],[Sub-category]], [1]!TblDV[Sub-category],[1]!TblDV[Category Type],"")</f>
        <v>Expense</v>
      </c>
      <c r="I313" s="34" t="s">
        <v>71</v>
      </c>
    </row>
    <row r="314" spans="1:9" x14ac:dyDescent="0.35">
      <c r="A314" t="s">
        <v>5</v>
      </c>
      <c r="B314" s="30">
        <v>44393</v>
      </c>
      <c r="C314" s="48">
        <v>34.200000000000003</v>
      </c>
      <c r="D314" s="48"/>
      <c r="E314" s="51">
        <f t="shared" si="4"/>
        <v>-34.200000000000003</v>
      </c>
      <c r="F314" s="33" t="s">
        <v>27</v>
      </c>
      <c r="G314" s="33" t="str">
        <f>_xlfn.XLOOKUP(Transactions[[#This Row],[Sub-category]], [1]!TblDV[Sub-category],[1]!TblDV[Category],"")</f>
        <v>Transport</v>
      </c>
      <c r="H314" s="33" t="str">
        <f>_xlfn.XLOOKUP(Transactions[[#This Row],[Sub-category]], [1]!TblDV[Sub-category],[1]!TblDV[Category Type],"")</f>
        <v>Expense</v>
      </c>
      <c r="I314" s="34" t="s">
        <v>73</v>
      </c>
    </row>
    <row r="315" spans="1:9" x14ac:dyDescent="0.35">
      <c r="A315" t="s">
        <v>9</v>
      </c>
      <c r="B315" s="30">
        <v>44394</v>
      </c>
      <c r="C315" s="48">
        <v>30</v>
      </c>
      <c r="D315" s="48"/>
      <c r="E315" s="51">
        <f t="shared" si="4"/>
        <v>-30</v>
      </c>
      <c r="F315" s="33" t="s">
        <v>17</v>
      </c>
      <c r="G315" s="33" t="str">
        <f>_xlfn.XLOOKUP(Transactions[[#This Row],[Sub-category]], [1]!TblDV[Sub-category],[1]!TblDV[Category],"")</f>
        <v>Discretionary</v>
      </c>
      <c r="H315" s="33" t="str">
        <f>_xlfn.XLOOKUP(Transactions[[#This Row],[Sub-category]], [1]!TblDV[Sub-category],[1]!TblDV[Category Type],"")</f>
        <v>Expense</v>
      </c>
      <c r="I315" s="34" t="s">
        <v>74</v>
      </c>
    </row>
    <row r="316" spans="1:9" x14ac:dyDescent="0.35">
      <c r="A316" t="s">
        <v>5</v>
      </c>
      <c r="B316" s="30">
        <v>44394</v>
      </c>
      <c r="C316" s="48">
        <v>5</v>
      </c>
      <c r="D316" s="48"/>
      <c r="E316" s="51">
        <f t="shared" si="4"/>
        <v>-5</v>
      </c>
      <c r="F316" s="33" t="s">
        <v>63</v>
      </c>
      <c r="G316" s="33" t="str">
        <f>_xlfn.XLOOKUP(Transactions[[#This Row],[Sub-category]], [1]!TblDV[Sub-category],[1]!TblDV[Category],"")</f>
        <v>Dining Out</v>
      </c>
      <c r="H316" s="33" t="str">
        <f>_xlfn.XLOOKUP(Transactions[[#This Row],[Sub-category]], [1]!TblDV[Sub-category],[1]!TblDV[Category Type],"")</f>
        <v>Expense</v>
      </c>
      <c r="I316" s="34" t="s">
        <v>62</v>
      </c>
    </row>
    <row r="317" spans="1:9" x14ac:dyDescent="0.35">
      <c r="A317" t="s">
        <v>5</v>
      </c>
      <c r="B317" s="30">
        <v>44395</v>
      </c>
      <c r="C317" s="48">
        <v>5</v>
      </c>
      <c r="D317" s="48"/>
      <c r="E317" s="51">
        <f t="shared" si="4"/>
        <v>-5</v>
      </c>
      <c r="F317" s="33" t="s">
        <v>63</v>
      </c>
      <c r="G317" s="33" t="str">
        <f>_xlfn.XLOOKUP(Transactions[[#This Row],[Sub-category]], [1]!TblDV[Sub-category],[1]!TblDV[Category],"")</f>
        <v>Dining Out</v>
      </c>
      <c r="H317" s="33" t="str">
        <f>_xlfn.XLOOKUP(Transactions[[#This Row],[Sub-category]], [1]!TblDV[Sub-category],[1]!TblDV[Category Type],"")</f>
        <v>Expense</v>
      </c>
      <c r="I317" s="34" t="s">
        <v>62</v>
      </c>
    </row>
    <row r="318" spans="1:9" x14ac:dyDescent="0.35">
      <c r="A318" t="s">
        <v>9</v>
      </c>
      <c r="B318" s="30">
        <v>44395</v>
      </c>
      <c r="C318" s="48">
        <v>40</v>
      </c>
      <c r="D318" s="48"/>
      <c r="E318" s="51">
        <f t="shared" si="4"/>
        <v>-40</v>
      </c>
      <c r="F318" s="33" t="s">
        <v>30</v>
      </c>
      <c r="G318" s="33" t="str">
        <f>_xlfn.XLOOKUP(Transactions[[#This Row],[Sub-category]], [1]!TblDV[Sub-category],[1]!TblDV[Category],"")</f>
        <v>Living Expenses</v>
      </c>
      <c r="H318" s="33" t="str">
        <f>_xlfn.XLOOKUP(Transactions[[#This Row],[Sub-category]], [1]!TblDV[Sub-category],[1]!TblDV[Category Type],"")</f>
        <v>Expense</v>
      </c>
      <c r="I318" s="34" t="s">
        <v>76</v>
      </c>
    </row>
    <row r="319" spans="1:9" x14ac:dyDescent="0.35">
      <c r="A319" t="s">
        <v>5</v>
      </c>
      <c r="B319" s="30">
        <v>44396</v>
      </c>
      <c r="C319" s="48">
        <v>51.1</v>
      </c>
      <c r="D319" s="48"/>
      <c r="E319" s="51">
        <f t="shared" si="4"/>
        <v>-51.1</v>
      </c>
      <c r="F319" s="33" t="s">
        <v>22</v>
      </c>
      <c r="G319" s="33" t="str">
        <f>_xlfn.XLOOKUP(Transactions[[#This Row],[Sub-category]], [1]!TblDV[Sub-category],[1]!TblDV[Category],"")</f>
        <v>Discretionary</v>
      </c>
      <c r="H319" s="33" t="str">
        <f>_xlfn.XLOOKUP(Transactions[[#This Row],[Sub-category]], [1]!TblDV[Sub-category],[1]!TblDV[Category Type],"")</f>
        <v>Expense</v>
      </c>
      <c r="I319" s="34" t="s">
        <v>77</v>
      </c>
    </row>
    <row r="320" spans="1:9" x14ac:dyDescent="0.35">
      <c r="A320" t="s">
        <v>5</v>
      </c>
      <c r="B320" s="30">
        <v>44396</v>
      </c>
      <c r="C320" s="48">
        <v>35</v>
      </c>
      <c r="D320" s="48"/>
      <c r="E320" s="51">
        <f t="shared" si="4"/>
        <v>-35</v>
      </c>
      <c r="F320" s="33" t="s">
        <v>15</v>
      </c>
      <c r="G320" s="33" t="str">
        <f>_xlfn.XLOOKUP(Transactions[[#This Row],[Sub-category]], [1]!TblDV[Sub-category],[1]!TblDV[Category],"")</f>
        <v>Discretionary</v>
      </c>
      <c r="H320" s="33" t="str">
        <f>_xlfn.XLOOKUP(Transactions[[#This Row],[Sub-category]], [1]!TblDV[Sub-category],[1]!TblDV[Category Type],"")</f>
        <v>Expense</v>
      </c>
      <c r="I320" s="34" t="s">
        <v>78</v>
      </c>
    </row>
    <row r="321" spans="1:9" x14ac:dyDescent="0.35">
      <c r="A321" t="s">
        <v>5</v>
      </c>
      <c r="B321" s="30">
        <v>44396</v>
      </c>
      <c r="C321" s="48">
        <v>5</v>
      </c>
      <c r="D321" s="48"/>
      <c r="E321" s="51">
        <f t="shared" si="4"/>
        <v>-5</v>
      </c>
      <c r="F321" s="33" t="s">
        <v>63</v>
      </c>
      <c r="G321" s="33" t="str">
        <f>_xlfn.XLOOKUP(Transactions[[#This Row],[Sub-category]], [1]!TblDV[Sub-category],[1]!TblDV[Category],"")</f>
        <v>Dining Out</v>
      </c>
      <c r="H321" s="33" t="str">
        <f>_xlfn.XLOOKUP(Transactions[[#This Row],[Sub-category]], [1]!TblDV[Sub-category],[1]!TblDV[Category Type],"")</f>
        <v>Expense</v>
      </c>
      <c r="I321" s="34" t="s">
        <v>62</v>
      </c>
    </row>
    <row r="322" spans="1:9" x14ac:dyDescent="0.35">
      <c r="A322" t="s">
        <v>5</v>
      </c>
      <c r="B322" s="30">
        <v>44397</v>
      </c>
      <c r="C322" s="48">
        <v>5</v>
      </c>
      <c r="D322" s="48"/>
      <c r="E322" s="51">
        <f t="shared" ref="E322:E385" si="5">D322-C322</f>
        <v>-5</v>
      </c>
      <c r="F322" s="33" t="s">
        <v>63</v>
      </c>
      <c r="G322" s="33" t="str">
        <f>_xlfn.XLOOKUP(Transactions[[#This Row],[Sub-category]], [1]!TblDV[Sub-category],[1]!TblDV[Category],"")</f>
        <v>Dining Out</v>
      </c>
      <c r="H322" s="33" t="str">
        <f>_xlfn.XLOOKUP(Transactions[[#This Row],[Sub-category]], [1]!TblDV[Sub-category],[1]!TblDV[Category Type],"")</f>
        <v>Expense</v>
      </c>
      <c r="I322" s="34" t="s">
        <v>62</v>
      </c>
    </row>
    <row r="323" spans="1:9" x14ac:dyDescent="0.35">
      <c r="A323" t="s">
        <v>5</v>
      </c>
      <c r="B323" s="30">
        <v>44398</v>
      </c>
      <c r="C323" s="48">
        <v>5</v>
      </c>
      <c r="D323" s="48"/>
      <c r="E323" s="51">
        <f t="shared" si="5"/>
        <v>-5</v>
      </c>
      <c r="F323" s="33" t="s">
        <v>63</v>
      </c>
      <c r="G323" s="33" t="str">
        <f>_xlfn.XLOOKUP(Transactions[[#This Row],[Sub-category]], [1]!TblDV[Sub-category],[1]!TblDV[Category],"")</f>
        <v>Dining Out</v>
      </c>
      <c r="H323" s="33" t="str">
        <f>_xlfn.XLOOKUP(Transactions[[#This Row],[Sub-category]], [1]!TblDV[Sub-category],[1]!TblDV[Category Type],"")</f>
        <v>Expense</v>
      </c>
      <c r="I323" s="34" t="s">
        <v>62</v>
      </c>
    </row>
    <row r="324" spans="1:9" x14ac:dyDescent="0.35">
      <c r="A324" t="s">
        <v>5</v>
      </c>
      <c r="B324" s="30">
        <v>44398</v>
      </c>
      <c r="C324" s="48">
        <v>176</v>
      </c>
      <c r="D324" s="48"/>
      <c r="E324" s="51">
        <f t="shared" si="5"/>
        <v>-176</v>
      </c>
      <c r="F324" s="33" t="s">
        <v>14</v>
      </c>
      <c r="G324" s="33" t="str">
        <f>_xlfn.XLOOKUP(Transactions[[#This Row],[Sub-category]], [1]!TblDV[Sub-category],[1]!TblDV[Category],"")</f>
        <v>Living Expenses</v>
      </c>
      <c r="H324" s="33" t="str">
        <f>_xlfn.XLOOKUP(Transactions[[#This Row],[Sub-category]], [1]!TblDV[Sub-category],[1]!TblDV[Category Type],"")</f>
        <v>Expense</v>
      </c>
      <c r="I324" s="34" t="s">
        <v>66</v>
      </c>
    </row>
    <row r="325" spans="1:9" x14ac:dyDescent="0.35">
      <c r="A325" t="s">
        <v>5</v>
      </c>
      <c r="B325" s="30">
        <v>44399</v>
      </c>
      <c r="C325" s="48">
        <v>43.1</v>
      </c>
      <c r="D325" s="48"/>
      <c r="E325" s="51">
        <f t="shared" si="5"/>
        <v>-43.1</v>
      </c>
      <c r="F325" s="33" t="s">
        <v>72</v>
      </c>
      <c r="G325" s="33" t="str">
        <f>_xlfn.XLOOKUP(Transactions[[#This Row],[Sub-category]], [1]!TblDV[Sub-category],[1]!TblDV[Category],"")</f>
        <v>Dining Out</v>
      </c>
      <c r="H325" s="33" t="str">
        <f>_xlfn.XLOOKUP(Transactions[[#This Row],[Sub-category]], [1]!TblDV[Sub-category],[1]!TblDV[Category Type],"")</f>
        <v>Expense</v>
      </c>
      <c r="I325" s="34" t="s">
        <v>79</v>
      </c>
    </row>
    <row r="326" spans="1:9" x14ac:dyDescent="0.35">
      <c r="A326" t="s">
        <v>5</v>
      </c>
      <c r="B326" s="30">
        <v>44400</v>
      </c>
      <c r="C326" s="48">
        <v>18.2</v>
      </c>
      <c r="D326" s="48"/>
      <c r="E326" s="51">
        <f t="shared" si="5"/>
        <v>-18.2</v>
      </c>
      <c r="F326" s="33" t="s">
        <v>72</v>
      </c>
      <c r="G326" s="33" t="str">
        <f>_xlfn.XLOOKUP(Transactions[[#This Row],[Sub-category]], [1]!TblDV[Sub-category],[1]!TblDV[Category],"")</f>
        <v>Dining Out</v>
      </c>
      <c r="H326" s="33" t="str">
        <f>_xlfn.XLOOKUP(Transactions[[#This Row],[Sub-category]], [1]!TblDV[Sub-category],[1]!TblDV[Category Type],"")</f>
        <v>Expense</v>
      </c>
      <c r="I326" s="34" t="s">
        <v>80</v>
      </c>
    </row>
    <row r="327" spans="1:9" x14ac:dyDescent="0.35">
      <c r="A327" t="s">
        <v>9</v>
      </c>
      <c r="B327" s="30">
        <v>44401</v>
      </c>
      <c r="C327" s="48">
        <v>55</v>
      </c>
      <c r="D327" s="48"/>
      <c r="E327" s="51">
        <f t="shared" si="5"/>
        <v>-55</v>
      </c>
      <c r="F327" s="33" t="s">
        <v>23</v>
      </c>
      <c r="G327" s="33" t="str">
        <f>_xlfn.XLOOKUP(Transactions[[#This Row],[Sub-category]], [1]!TblDV[Sub-category],[1]!TblDV[Category],"")</f>
        <v>Charity</v>
      </c>
      <c r="H327" s="33" t="str">
        <f>_xlfn.XLOOKUP(Transactions[[#This Row],[Sub-category]], [1]!TblDV[Sub-category],[1]!TblDV[Category Type],"")</f>
        <v>Expense</v>
      </c>
      <c r="I327" s="34" t="s">
        <v>81</v>
      </c>
    </row>
    <row r="328" spans="1:9" x14ac:dyDescent="0.35">
      <c r="A328" t="s">
        <v>5</v>
      </c>
      <c r="B328" s="30">
        <v>44401</v>
      </c>
      <c r="C328" s="48">
        <v>68.800000000000011</v>
      </c>
      <c r="D328" s="48"/>
      <c r="E328" s="51">
        <f t="shared" si="5"/>
        <v>-68.800000000000011</v>
      </c>
      <c r="F328" s="33" t="s">
        <v>13</v>
      </c>
      <c r="G328" s="33" t="str">
        <f>_xlfn.XLOOKUP(Transactions[[#This Row],[Sub-category]], [1]!TblDV[Sub-category],[1]!TblDV[Category],"")</f>
        <v>Transport</v>
      </c>
      <c r="H328" s="33" t="str">
        <f>_xlfn.XLOOKUP(Transactions[[#This Row],[Sub-category]], [1]!TblDV[Sub-category],[1]!TblDV[Category Type],"")</f>
        <v>Expense</v>
      </c>
      <c r="I328" s="34" t="s">
        <v>68</v>
      </c>
    </row>
    <row r="329" spans="1:9" x14ac:dyDescent="0.35">
      <c r="A329" t="s">
        <v>5</v>
      </c>
      <c r="B329" s="30">
        <v>44401</v>
      </c>
      <c r="C329" s="48">
        <v>5</v>
      </c>
      <c r="D329" s="48"/>
      <c r="E329" s="51">
        <f t="shared" si="5"/>
        <v>-5</v>
      </c>
      <c r="F329" s="33" t="s">
        <v>63</v>
      </c>
      <c r="G329" s="33" t="str">
        <f>_xlfn.XLOOKUP(Transactions[[#This Row],[Sub-category]], [1]!TblDV[Sub-category],[1]!TblDV[Category],"")</f>
        <v>Dining Out</v>
      </c>
      <c r="H329" s="33" t="str">
        <f>_xlfn.XLOOKUP(Transactions[[#This Row],[Sub-category]], [1]!TblDV[Sub-category],[1]!TblDV[Category Type],"")</f>
        <v>Expense</v>
      </c>
      <c r="I329" s="34" t="s">
        <v>62</v>
      </c>
    </row>
    <row r="330" spans="1:9" x14ac:dyDescent="0.35">
      <c r="A330" t="s">
        <v>5</v>
      </c>
      <c r="B330" s="30">
        <v>44402</v>
      </c>
      <c r="C330" s="48">
        <v>5</v>
      </c>
      <c r="D330" s="48"/>
      <c r="E330" s="51">
        <f t="shared" si="5"/>
        <v>-5</v>
      </c>
      <c r="F330" s="33" t="s">
        <v>63</v>
      </c>
      <c r="G330" s="33" t="str">
        <f>_xlfn.XLOOKUP(Transactions[[#This Row],[Sub-category]], [1]!TblDV[Sub-category],[1]!TblDV[Category],"")</f>
        <v>Dining Out</v>
      </c>
      <c r="H330" s="33" t="str">
        <f>_xlfn.XLOOKUP(Transactions[[#This Row],[Sub-category]], [1]!TblDV[Sub-category],[1]!TblDV[Category Type],"")</f>
        <v>Expense</v>
      </c>
      <c r="I330" s="34" t="s">
        <v>62</v>
      </c>
    </row>
    <row r="331" spans="1:9" x14ac:dyDescent="0.35">
      <c r="A331" t="s">
        <v>5</v>
      </c>
      <c r="B331" s="30">
        <v>44403</v>
      </c>
      <c r="C331" s="48">
        <v>5</v>
      </c>
      <c r="D331" s="48"/>
      <c r="E331" s="51">
        <f t="shared" si="5"/>
        <v>-5</v>
      </c>
      <c r="F331" s="33" t="s">
        <v>63</v>
      </c>
      <c r="G331" s="33" t="str">
        <f>_xlfn.XLOOKUP(Transactions[[#This Row],[Sub-category]], [1]!TblDV[Sub-category],[1]!TblDV[Category],"")</f>
        <v>Dining Out</v>
      </c>
      <c r="H331" s="33" t="str">
        <f>_xlfn.XLOOKUP(Transactions[[#This Row],[Sub-category]], [1]!TblDV[Sub-category],[1]!TblDV[Category Type],"")</f>
        <v>Expense</v>
      </c>
      <c r="I331" s="34" t="s">
        <v>62</v>
      </c>
    </row>
    <row r="332" spans="1:9" x14ac:dyDescent="0.35">
      <c r="A332" t="s">
        <v>5</v>
      </c>
      <c r="B332" s="30">
        <v>44404</v>
      </c>
      <c r="C332" s="48">
        <v>5</v>
      </c>
      <c r="D332" s="48"/>
      <c r="E332" s="51">
        <f t="shared" si="5"/>
        <v>-5</v>
      </c>
      <c r="F332" s="33" t="s">
        <v>63</v>
      </c>
      <c r="G332" s="33" t="str">
        <f>_xlfn.XLOOKUP(Transactions[[#This Row],[Sub-category]], [1]!TblDV[Sub-category],[1]!TblDV[Category],"")</f>
        <v>Dining Out</v>
      </c>
      <c r="H332" s="33" t="str">
        <f>_xlfn.XLOOKUP(Transactions[[#This Row],[Sub-category]], [1]!TblDV[Sub-category],[1]!TblDV[Category Type],"")</f>
        <v>Expense</v>
      </c>
      <c r="I332" s="34" t="s">
        <v>62</v>
      </c>
    </row>
    <row r="333" spans="1:9" x14ac:dyDescent="0.35">
      <c r="A333" t="s">
        <v>5</v>
      </c>
      <c r="B333" s="30">
        <v>44405</v>
      </c>
      <c r="C333" s="48">
        <v>5</v>
      </c>
      <c r="D333" s="48"/>
      <c r="E333" s="51">
        <f t="shared" si="5"/>
        <v>-5</v>
      </c>
      <c r="F333" s="33" t="s">
        <v>63</v>
      </c>
      <c r="G333" s="33" t="str">
        <f>_xlfn.XLOOKUP(Transactions[[#This Row],[Sub-category]], [1]!TblDV[Sub-category],[1]!TblDV[Category],"")</f>
        <v>Dining Out</v>
      </c>
      <c r="H333" s="33" t="str">
        <f>_xlfn.XLOOKUP(Transactions[[#This Row],[Sub-category]], [1]!TblDV[Sub-category],[1]!TblDV[Category Type],"")</f>
        <v>Expense</v>
      </c>
      <c r="I333" s="34" t="s">
        <v>62</v>
      </c>
    </row>
    <row r="334" spans="1:9" x14ac:dyDescent="0.35">
      <c r="A334" t="s">
        <v>5</v>
      </c>
      <c r="B334" s="30">
        <v>44405</v>
      </c>
      <c r="C334" s="48">
        <v>193</v>
      </c>
      <c r="D334" s="48"/>
      <c r="E334" s="51">
        <f t="shared" si="5"/>
        <v>-193</v>
      </c>
      <c r="F334" s="33" t="s">
        <v>14</v>
      </c>
      <c r="G334" s="33" t="str">
        <f>_xlfn.XLOOKUP(Transactions[[#This Row],[Sub-category]], [1]!TblDV[Sub-category],[1]!TblDV[Category],"")</f>
        <v>Living Expenses</v>
      </c>
      <c r="H334" s="33" t="str">
        <f>_xlfn.XLOOKUP(Transactions[[#This Row],[Sub-category]], [1]!TblDV[Sub-category],[1]!TblDV[Category Type],"")</f>
        <v>Expense</v>
      </c>
      <c r="I334" s="34" t="s">
        <v>66</v>
      </c>
    </row>
    <row r="335" spans="1:9" x14ac:dyDescent="0.35">
      <c r="A335" t="s">
        <v>5</v>
      </c>
      <c r="B335" s="30">
        <v>44406</v>
      </c>
      <c r="C335" s="48">
        <v>130.80000000000001</v>
      </c>
      <c r="D335" s="48"/>
      <c r="E335" s="51">
        <f t="shared" si="5"/>
        <v>-130.80000000000001</v>
      </c>
      <c r="F335" s="33" t="s">
        <v>16</v>
      </c>
      <c r="G335" s="33" t="str">
        <f>_xlfn.XLOOKUP(Transactions[[#This Row],[Sub-category]], [1]!TblDV[Sub-category],[1]!TblDV[Category],"")</f>
        <v>Discretionary</v>
      </c>
      <c r="H335" s="33" t="str">
        <f>_xlfn.XLOOKUP(Transactions[[#This Row],[Sub-category]], [1]!TblDV[Sub-category],[1]!TblDV[Category Type],"")</f>
        <v>Expense</v>
      </c>
      <c r="I335" s="34" t="s">
        <v>82</v>
      </c>
    </row>
    <row r="336" spans="1:9" x14ac:dyDescent="0.35">
      <c r="A336" t="s">
        <v>5</v>
      </c>
      <c r="B336" s="30">
        <v>44406</v>
      </c>
      <c r="C336" s="48">
        <v>181.39999999999998</v>
      </c>
      <c r="D336" s="48"/>
      <c r="E336" s="51">
        <f t="shared" si="5"/>
        <v>-181.39999999999998</v>
      </c>
      <c r="F336" s="33" t="s">
        <v>32</v>
      </c>
      <c r="G336" s="33" t="str">
        <f>_xlfn.XLOOKUP(Transactions[[#This Row],[Sub-category]], [1]!TblDV[Sub-category],[1]!TblDV[Category],"")</f>
        <v>Discretionary</v>
      </c>
      <c r="H336" s="33" t="str">
        <f>_xlfn.XLOOKUP(Transactions[[#This Row],[Sub-category]], [1]!TblDV[Sub-category],[1]!TblDV[Category Type],"")</f>
        <v>Expense</v>
      </c>
      <c r="I336" s="34" t="s">
        <v>89</v>
      </c>
    </row>
    <row r="337" spans="1:9" x14ac:dyDescent="0.35">
      <c r="A337" t="s">
        <v>5</v>
      </c>
      <c r="B337" s="30">
        <v>44407</v>
      </c>
      <c r="C337" s="48">
        <v>151.19999999999999</v>
      </c>
      <c r="D337" s="48"/>
      <c r="E337" s="51">
        <f t="shared" si="5"/>
        <v>-151.19999999999999</v>
      </c>
      <c r="F337" s="33" t="s">
        <v>16</v>
      </c>
      <c r="G337" s="33" t="str">
        <f>_xlfn.XLOOKUP(Transactions[[#This Row],[Sub-category]], [1]!TblDV[Sub-category],[1]!TblDV[Category],"")</f>
        <v>Discretionary</v>
      </c>
      <c r="H337" s="33" t="str">
        <f>_xlfn.XLOOKUP(Transactions[[#This Row],[Sub-category]], [1]!TblDV[Sub-category],[1]!TblDV[Category Type],"")</f>
        <v>Expense</v>
      </c>
      <c r="I337" s="34" t="s">
        <v>70</v>
      </c>
    </row>
    <row r="338" spans="1:9" x14ac:dyDescent="0.35">
      <c r="A338" t="s">
        <v>5</v>
      </c>
      <c r="B338" s="30">
        <v>44407</v>
      </c>
      <c r="C338" s="48">
        <v>29.300000000000004</v>
      </c>
      <c r="D338" s="48"/>
      <c r="E338" s="51">
        <f t="shared" si="5"/>
        <v>-29.300000000000004</v>
      </c>
      <c r="F338" s="33" t="s">
        <v>27</v>
      </c>
      <c r="G338" s="33" t="str">
        <f>_xlfn.XLOOKUP(Transactions[[#This Row],[Sub-category]], [1]!TblDV[Sub-category],[1]!TblDV[Category],"")</f>
        <v>Transport</v>
      </c>
      <c r="H338" s="33" t="str">
        <f>_xlfn.XLOOKUP(Transactions[[#This Row],[Sub-category]], [1]!TblDV[Sub-category],[1]!TblDV[Category Type],"")</f>
        <v>Expense</v>
      </c>
      <c r="I338" s="34" t="s">
        <v>73</v>
      </c>
    </row>
    <row r="339" spans="1:9" x14ac:dyDescent="0.35">
      <c r="A339" t="s">
        <v>5</v>
      </c>
      <c r="B339" s="30">
        <v>44407</v>
      </c>
      <c r="C339" s="48">
        <v>15</v>
      </c>
      <c r="D339" s="48"/>
      <c r="E339" s="51">
        <f t="shared" si="5"/>
        <v>-15</v>
      </c>
      <c r="F339" s="33" t="s">
        <v>72</v>
      </c>
      <c r="G339" s="33" t="str">
        <f>_xlfn.XLOOKUP(Transactions[[#This Row],[Sub-category]], [1]!TblDV[Sub-category],[1]!TblDV[Category],"")</f>
        <v>Dining Out</v>
      </c>
      <c r="H339" s="33" t="str">
        <f>_xlfn.XLOOKUP(Transactions[[#This Row],[Sub-category]], [1]!TblDV[Sub-category],[1]!TblDV[Category Type],"")</f>
        <v>Expense</v>
      </c>
      <c r="I339" s="34" t="s">
        <v>87</v>
      </c>
    </row>
    <row r="340" spans="1:9" x14ac:dyDescent="0.35">
      <c r="A340" t="s">
        <v>5</v>
      </c>
      <c r="B340" s="30">
        <v>44408</v>
      </c>
      <c r="C340" s="48">
        <v>5</v>
      </c>
      <c r="D340" s="48"/>
      <c r="E340" s="51">
        <f t="shared" si="5"/>
        <v>-5</v>
      </c>
      <c r="F340" s="33" t="s">
        <v>63</v>
      </c>
      <c r="G340" s="33" t="str">
        <f>_xlfn.XLOOKUP(Transactions[[#This Row],[Sub-category]], [1]!TblDV[Sub-category],[1]!TblDV[Category],"")</f>
        <v>Dining Out</v>
      </c>
      <c r="H340" s="33" t="str">
        <f>_xlfn.XLOOKUP(Transactions[[#This Row],[Sub-category]], [1]!TblDV[Sub-category],[1]!TblDV[Category Type],"")</f>
        <v>Expense</v>
      </c>
      <c r="I340" s="34" t="s">
        <v>62</v>
      </c>
    </row>
    <row r="341" spans="1:9" x14ac:dyDescent="0.35">
      <c r="A341" t="s">
        <v>5</v>
      </c>
      <c r="B341" s="30">
        <v>44410</v>
      </c>
      <c r="C341" s="48">
        <v>5</v>
      </c>
      <c r="D341" s="48"/>
      <c r="E341" s="51">
        <f t="shared" si="5"/>
        <v>-5</v>
      </c>
      <c r="F341" s="33" t="s">
        <v>63</v>
      </c>
      <c r="G341" s="33" t="str">
        <f>_xlfn.XLOOKUP(Transactions[[#This Row],[Sub-category]], [1]!TblDV[Sub-category],[1]!TblDV[Category],"")</f>
        <v>Dining Out</v>
      </c>
      <c r="H341" s="33" t="str">
        <f>_xlfn.XLOOKUP(Transactions[[#This Row],[Sub-category]], [1]!TblDV[Sub-category],[1]!TblDV[Category Type],"")</f>
        <v>Expense</v>
      </c>
      <c r="I341" s="34" t="s">
        <v>62</v>
      </c>
    </row>
    <row r="342" spans="1:9" x14ac:dyDescent="0.35">
      <c r="A342" t="s">
        <v>9</v>
      </c>
      <c r="B342" s="30">
        <v>44410</v>
      </c>
      <c r="C342" s="48"/>
      <c r="D342" s="48">
        <v>4000</v>
      </c>
      <c r="E342" s="51">
        <f t="shared" si="5"/>
        <v>4000</v>
      </c>
      <c r="F342" s="33" t="s">
        <v>7</v>
      </c>
      <c r="G342" s="33" t="str">
        <f>_xlfn.XLOOKUP(Transactions[[#This Row],[Sub-category]], [1]!TblDV[Sub-category],[1]!TblDV[Category],"")</f>
        <v>Salary</v>
      </c>
      <c r="H342" s="33" t="str">
        <f>_xlfn.XLOOKUP(Transactions[[#This Row],[Sub-category]], [1]!TblDV[Sub-category],[1]!TblDV[Category Type],"")</f>
        <v>Income</v>
      </c>
      <c r="I342" s="34" t="s">
        <v>61</v>
      </c>
    </row>
    <row r="343" spans="1:9" x14ac:dyDescent="0.35">
      <c r="A343" t="s">
        <v>5</v>
      </c>
      <c r="B343" s="30">
        <v>44411</v>
      </c>
      <c r="C343" s="48">
        <v>5</v>
      </c>
      <c r="D343" s="48"/>
      <c r="E343" s="51">
        <f t="shared" si="5"/>
        <v>-5</v>
      </c>
      <c r="F343" s="33" t="s">
        <v>63</v>
      </c>
      <c r="G343" s="33" t="str">
        <f>_xlfn.XLOOKUP(Transactions[[#This Row],[Sub-category]], [1]!TblDV[Sub-category],[1]!TblDV[Category],"")</f>
        <v>Dining Out</v>
      </c>
      <c r="H343" s="33" t="str">
        <f>_xlfn.XLOOKUP(Transactions[[#This Row],[Sub-category]], [1]!TblDV[Sub-category],[1]!TblDV[Category Type],"")</f>
        <v>Expense</v>
      </c>
      <c r="I343" s="34" t="s">
        <v>62</v>
      </c>
    </row>
    <row r="344" spans="1:9" x14ac:dyDescent="0.35">
      <c r="A344" t="s">
        <v>9</v>
      </c>
      <c r="B344" s="30">
        <v>44413</v>
      </c>
      <c r="C344" s="48">
        <v>900</v>
      </c>
      <c r="D344" s="48"/>
      <c r="E344" s="51">
        <f t="shared" si="5"/>
        <v>-900</v>
      </c>
      <c r="F344" s="33" t="s">
        <v>10</v>
      </c>
      <c r="G344" s="33" t="str">
        <f>_xlfn.XLOOKUP(Transactions[[#This Row],[Sub-category]], [1]!TblDV[Sub-category],[1]!TblDV[Category],"")</f>
        <v>Living Expenses</v>
      </c>
      <c r="H344" s="33" t="str">
        <f>_xlfn.XLOOKUP(Transactions[[#This Row],[Sub-category]], [1]!TblDV[Sub-category],[1]!TblDV[Category Type],"")</f>
        <v>Expense</v>
      </c>
      <c r="I344" s="34" t="s">
        <v>64</v>
      </c>
    </row>
    <row r="345" spans="1:9" x14ac:dyDescent="0.35">
      <c r="A345" t="s">
        <v>9</v>
      </c>
      <c r="B345" s="30">
        <v>44413</v>
      </c>
      <c r="C345" s="48">
        <v>150</v>
      </c>
      <c r="D345" s="48"/>
      <c r="E345" s="51">
        <f t="shared" si="5"/>
        <v>-150</v>
      </c>
      <c r="F345" s="33" t="s">
        <v>29</v>
      </c>
      <c r="G345" s="33" t="str">
        <f>_xlfn.XLOOKUP(Transactions[[#This Row],[Sub-category]], [1]!TblDV[Sub-category],[1]!TblDV[Category],"")</f>
        <v>Transport</v>
      </c>
      <c r="H345" s="33" t="str">
        <f>_xlfn.XLOOKUP(Transactions[[#This Row],[Sub-category]], [1]!TblDV[Sub-category],[1]!TblDV[Category Type],"")</f>
        <v>Expense</v>
      </c>
      <c r="I345" s="34" t="s">
        <v>65</v>
      </c>
    </row>
    <row r="346" spans="1:9" x14ac:dyDescent="0.35">
      <c r="A346" t="s">
        <v>5</v>
      </c>
      <c r="B346" s="30">
        <v>44413</v>
      </c>
      <c r="C346" s="48">
        <v>5</v>
      </c>
      <c r="D346" s="48"/>
      <c r="E346" s="51">
        <f t="shared" si="5"/>
        <v>-5</v>
      </c>
      <c r="F346" s="33" t="s">
        <v>63</v>
      </c>
      <c r="G346" s="33" t="str">
        <f>_xlfn.XLOOKUP(Transactions[[#This Row],[Sub-category]], [1]!TblDV[Sub-category],[1]!TblDV[Category],"")</f>
        <v>Dining Out</v>
      </c>
      <c r="H346" s="33" t="str">
        <f>_xlfn.XLOOKUP(Transactions[[#This Row],[Sub-category]], [1]!TblDV[Sub-category],[1]!TblDV[Category Type],"")</f>
        <v>Expense</v>
      </c>
      <c r="I346" s="34" t="s">
        <v>62</v>
      </c>
    </row>
    <row r="347" spans="1:9" x14ac:dyDescent="0.35">
      <c r="A347" t="s">
        <v>5</v>
      </c>
      <c r="B347" s="30">
        <v>44413</v>
      </c>
      <c r="C347" s="48">
        <v>5</v>
      </c>
      <c r="D347" s="48"/>
      <c r="E347" s="51">
        <f t="shared" si="5"/>
        <v>-5</v>
      </c>
      <c r="F347" s="33" t="s">
        <v>63</v>
      </c>
      <c r="G347" s="33" t="str">
        <f>_xlfn.XLOOKUP(Transactions[[#This Row],[Sub-category]], [1]!TblDV[Sub-category],[1]!TblDV[Category],"")</f>
        <v>Dining Out</v>
      </c>
      <c r="H347" s="33" t="str">
        <f>_xlfn.XLOOKUP(Transactions[[#This Row],[Sub-category]], [1]!TblDV[Sub-category],[1]!TblDV[Category Type],"")</f>
        <v>Expense</v>
      </c>
      <c r="I347" s="34" t="s">
        <v>62</v>
      </c>
    </row>
    <row r="348" spans="1:9" x14ac:dyDescent="0.35">
      <c r="A348" t="s">
        <v>5</v>
      </c>
      <c r="B348" s="30">
        <v>44414</v>
      </c>
      <c r="C348" s="48">
        <v>5</v>
      </c>
      <c r="D348" s="48"/>
      <c r="E348" s="51">
        <f t="shared" si="5"/>
        <v>-5</v>
      </c>
      <c r="F348" s="33" t="s">
        <v>63</v>
      </c>
      <c r="G348" s="33" t="str">
        <f>_xlfn.XLOOKUP(Transactions[[#This Row],[Sub-category]], [1]!TblDV[Sub-category],[1]!TblDV[Category],"")</f>
        <v>Dining Out</v>
      </c>
      <c r="H348" s="33" t="str">
        <f>_xlfn.XLOOKUP(Transactions[[#This Row],[Sub-category]], [1]!TblDV[Sub-category],[1]!TblDV[Category Type],"")</f>
        <v>Expense</v>
      </c>
      <c r="I348" s="34" t="s">
        <v>62</v>
      </c>
    </row>
    <row r="349" spans="1:9" x14ac:dyDescent="0.35">
      <c r="A349" t="s">
        <v>5</v>
      </c>
      <c r="B349" s="30">
        <v>44415</v>
      </c>
      <c r="C349" s="48">
        <v>5</v>
      </c>
      <c r="D349" s="48"/>
      <c r="E349" s="51">
        <f t="shared" si="5"/>
        <v>-5</v>
      </c>
      <c r="F349" s="33" t="s">
        <v>63</v>
      </c>
      <c r="G349" s="33" t="str">
        <f>_xlfn.XLOOKUP(Transactions[[#This Row],[Sub-category]], [1]!TblDV[Sub-category],[1]!TblDV[Category],"")</f>
        <v>Dining Out</v>
      </c>
      <c r="H349" s="33" t="str">
        <f>_xlfn.XLOOKUP(Transactions[[#This Row],[Sub-category]], [1]!TblDV[Sub-category],[1]!TblDV[Category Type],"")</f>
        <v>Expense</v>
      </c>
      <c r="I349" s="34" t="s">
        <v>62</v>
      </c>
    </row>
    <row r="350" spans="1:9" x14ac:dyDescent="0.35">
      <c r="A350" t="s">
        <v>5</v>
      </c>
      <c r="B350" s="30">
        <v>44415</v>
      </c>
      <c r="C350" s="48">
        <v>137</v>
      </c>
      <c r="D350" s="48"/>
      <c r="E350" s="51">
        <f t="shared" si="5"/>
        <v>-137</v>
      </c>
      <c r="F350" s="33" t="s">
        <v>14</v>
      </c>
      <c r="G350" s="33" t="str">
        <f>_xlfn.XLOOKUP(Transactions[[#This Row],[Sub-category]], [1]!TblDV[Sub-category],[1]!TblDV[Category],"")</f>
        <v>Living Expenses</v>
      </c>
      <c r="H350" s="33" t="str">
        <f>_xlfn.XLOOKUP(Transactions[[#This Row],[Sub-category]], [1]!TblDV[Sub-category],[1]!TblDV[Category Type],"")</f>
        <v>Expense</v>
      </c>
      <c r="I350" s="34" t="s">
        <v>66</v>
      </c>
    </row>
    <row r="351" spans="1:9" x14ac:dyDescent="0.35">
      <c r="A351" t="s">
        <v>9</v>
      </c>
      <c r="B351" s="30">
        <v>44418</v>
      </c>
      <c r="C351" s="48">
        <v>57</v>
      </c>
      <c r="D351" s="48"/>
      <c r="E351" s="51">
        <f t="shared" si="5"/>
        <v>-57</v>
      </c>
      <c r="F351" s="33" t="s">
        <v>12</v>
      </c>
      <c r="G351" s="33" t="str">
        <f>_xlfn.XLOOKUP(Transactions[[#This Row],[Sub-category]], [1]!TblDV[Sub-category],[1]!TblDV[Category],"")</f>
        <v>Living Expenses</v>
      </c>
      <c r="H351" s="33" t="str">
        <f>_xlfn.XLOOKUP(Transactions[[#This Row],[Sub-category]], [1]!TblDV[Sub-category],[1]!TblDV[Category Type],"")</f>
        <v>Expense</v>
      </c>
      <c r="I351" s="34" t="s">
        <v>67</v>
      </c>
    </row>
    <row r="352" spans="1:9" x14ac:dyDescent="0.35">
      <c r="A352" t="s">
        <v>5</v>
      </c>
      <c r="B352" s="30">
        <v>44418</v>
      </c>
      <c r="C352" s="48">
        <v>5</v>
      </c>
      <c r="D352" s="48"/>
      <c r="E352" s="51">
        <f t="shared" si="5"/>
        <v>-5</v>
      </c>
      <c r="F352" s="33" t="s">
        <v>63</v>
      </c>
      <c r="G352" s="33" t="str">
        <f>_xlfn.XLOOKUP(Transactions[[#This Row],[Sub-category]], [1]!TblDV[Sub-category],[1]!TblDV[Category],"")</f>
        <v>Dining Out</v>
      </c>
      <c r="H352" s="33" t="str">
        <f>_xlfn.XLOOKUP(Transactions[[#This Row],[Sub-category]], [1]!TblDV[Sub-category],[1]!TblDV[Category Type],"")</f>
        <v>Expense</v>
      </c>
      <c r="I352" s="34" t="s">
        <v>62</v>
      </c>
    </row>
    <row r="353" spans="1:9" x14ac:dyDescent="0.35">
      <c r="A353" t="s">
        <v>5</v>
      </c>
      <c r="B353" s="30">
        <v>44419</v>
      </c>
      <c r="C353" s="48">
        <v>5</v>
      </c>
      <c r="D353" s="48"/>
      <c r="E353" s="51">
        <f t="shared" si="5"/>
        <v>-5</v>
      </c>
      <c r="F353" s="33" t="s">
        <v>63</v>
      </c>
      <c r="G353" s="33" t="str">
        <f>_xlfn.XLOOKUP(Transactions[[#This Row],[Sub-category]], [1]!TblDV[Sub-category],[1]!TblDV[Category],"")</f>
        <v>Dining Out</v>
      </c>
      <c r="H353" s="33" t="str">
        <f>_xlfn.XLOOKUP(Transactions[[#This Row],[Sub-category]], [1]!TblDV[Sub-category],[1]!TblDV[Category Type],"")</f>
        <v>Expense</v>
      </c>
      <c r="I353" s="34" t="s">
        <v>62</v>
      </c>
    </row>
    <row r="354" spans="1:9" x14ac:dyDescent="0.35">
      <c r="A354" t="s">
        <v>5</v>
      </c>
      <c r="B354" s="30">
        <v>44420</v>
      </c>
      <c r="C354" s="48">
        <v>84.199999999999989</v>
      </c>
      <c r="D354" s="48"/>
      <c r="E354" s="51">
        <f t="shared" si="5"/>
        <v>-84.199999999999989</v>
      </c>
      <c r="F354" s="33" t="s">
        <v>13</v>
      </c>
      <c r="G354" s="33" t="str">
        <f>_xlfn.XLOOKUP(Transactions[[#This Row],[Sub-category]], [1]!TblDV[Sub-category],[1]!TblDV[Category],"")</f>
        <v>Transport</v>
      </c>
      <c r="H354" s="33" t="str">
        <f>_xlfn.XLOOKUP(Transactions[[#This Row],[Sub-category]], [1]!TblDV[Sub-category],[1]!TblDV[Category Type],"")</f>
        <v>Expense</v>
      </c>
      <c r="I354" s="34" t="s">
        <v>68</v>
      </c>
    </row>
    <row r="355" spans="1:9" x14ac:dyDescent="0.35">
      <c r="A355" t="s">
        <v>5</v>
      </c>
      <c r="B355" s="30">
        <v>44420</v>
      </c>
      <c r="C355" s="48">
        <v>5</v>
      </c>
      <c r="D355" s="48"/>
      <c r="E355" s="51">
        <f t="shared" si="5"/>
        <v>-5</v>
      </c>
      <c r="F355" s="33" t="s">
        <v>63</v>
      </c>
      <c r="G355" s="33" t="str">
        <f>_xlfn.XLOOKUP(Transactions[[#This Row],[Sub-category]], [1]!TblDV[Sub-category],[1]!TblDV[Category],"")</f>
        <v>Dining Out</v>
      </c>
      <c r="H355" s="33" t="str">
        <f>_xlfn.XLOOKUP(Transactions[[#This Row],[Sub-category]], [1]!TblDV[Sub-category],[1]!TblDV[Category Type],"")</f>
        <v>Expense</v>
      </c>
      <c r="I355" s="34" t="s">
        <v>62</v>
      </c>
    </row>
    <row r="356" spans="1:9" x14ac:dyDescent="0.35">
      <c r="A356" t="s">
        <v>5</v>
      </c>
      <c r="B356" s="30">
        <v>44421</v>
      </c>
      <c r="C356" s="48">
        <v>5</v>
      </c>
      <c r="D356" s="48"/>
      <c r="E356" s="51">
        <f t="shared" si="5"/>
        <v>-5</v>
      </c>
      <c r="F356" s="33" t="s">
        <v>63</v>
      </c>
      <c r="G356" s="33" t="str">
        <f>_xlfn.XLOOKUP(Transactions[[#This Row],[Sub-category]], [1]!TblDV[Sub-category],[1]!TblDV[Category],"")</f>
        <v>Dining Out</v>
      </c>
      <c r="H356" s="33" t="str">
        <f>_xlfn.XLOOKUP(Transactions[[#This Row],[Sub-category]], [1]!TblDV[Sub-category],[1]!TblDV[Category Type],"")</f>
        <v>Expense</v>
      </c>
      <c r="I356" s="34" t="s">
        <v>62</v>
      </c>
    </row>
    <row r="357" spans="1:9" x14ac:dyDescent="0.35">
      <c r="A357" t="s">
        <v>5</v>
      </c>
      <c r="B357" s="30">
        <v>44422</v>
      </c>
      <c r="C357" s="48">
        <v>142.1</v>
      </c>
      <c r="D357" s="48"/>
      <c r="E357" s="51">
        <f t="shared" si="5"/>
        <v>-142.1</v>
      </c>
      <c r="F357" s="33" t="s">
        <v>14</v>
      </c>
      <c r="G357" s="33" t="str">
        <f>_xlfn.XLOOKUP(Transactions[[#This Row],[Sub-category]], [1]!TblDV[Sub-category],[1]!TblDV[Category],"")</f>
        <v>Living Expenses</v>
      </c>
      <c r="H357" s="33" t="str">
        <f>_xlfn.XLOOKUP(Transactions[[#This Row],[Sub-category]], [1]!TblDV[Sub-category],[1]!TblDV[Category Type],"")</f>
        <v>Expense</v>
      </c>
      <c r="I357" s="34" t="s">
        <v>66</v>
      </c>
    </row>
    <row r="358" spans="1:9" x14ac:dyDescent="0.35">
      <c r="A358" t="s">
        <v>5</v>
      </c>
      <c r="B358" s="30">
        <v>44422</v>
      </c>
      <c r="C358" s="48">
        <v>5</v>
      </c>
      <c r="D358" s="48"/>
      <c r="E358" s="51">
        <f t="shared" si="5"/>
        <v>-5</v>
      </c>
      <c r="F358" s="33" t="s">
        <v>63</v>
      </c>
      <c r="G358" s="33" t="str">
        <f>_xlfn.XLOOKUP(Transactions[[#This Row],[Sub-category]], [1]!TblDV[Sub-category],[1]!TblDV[Category],"")</f>
        <v>Dining Out</v>
      </c>
      <c r="H358" s="33" t="str">
        <f>_xlfn.XLOOKUP(Transactions[[#This Row],[Sub-category]], [1]!TblDV[Sub-category],[1]!TblDV[Category Type],"")</f>
        <v>Expense</v>
      </c>
      <c r="I358" s="34" t="s">
        <v>62</v>
      </c>
    </row>
    <row r="359" spans="1:9" x14ac:dyDescent="0.35">
      <c r="A359" t="s">
        <v>5</v>
      </c>
      <c r="B359" s="30">
        <v>44423</v>
      </c>
      <c r="C359" s="48">
        <v>5</v>
      </c>
      <c r="D359" s="48"/>
      <c r="E359" s="51">
        <f t="shared" si="5"/>
        <v>-5</v>
      </c>
      <c r="F359" s="33" t="s">
        <v>63</v>
      </c>
      <c r="G359" s="33" t="str">
        <f>_xlfn.XLOOKUP(Transactions[[#This Row],[Sub-category]], [1]!TblDV[Sub-category],[1]!TblDV[Category],"")</f>
        <v>Dining Out</v>
      </c>
      <c r="H359" s="33" t="str">
        <f>_xlfn.XLOOKUP(Transactions[[#This Row],[Sub-category]], [1]!TblDV[Sub-category],[1]!TblDV[Category Type],"")</f>
        <v>Expense</v>
      </c>
      <c r="I359" s="34" t="s">
        <v>62</v>
      </c>
    </row>
    <row r="360" spans="1:9" x14ac:dyDescent="0.35">
      <c r="A360" t="s">
        <v>5</v>
      </c>
      <c r="B360" s="30">
        <v>44423</v>
      </c>
      <c r="C360" s="48">
        <v>46.8</v>
      </c>
      <c r="D360" s="48"/>
      <c r="E360" s="51">
        <f t="shared" si="5"/>
        <v>-46.8</v>
      </c>
      <c r="F360" s="33" t="s">
        <v>15</v>
      </c>
      <c r="G360" s="33" t="str">
        <f>_xlfn.XLOOKUP(Transactions[[#This Row],[Sub-category]], [1]!TblDV[Sub-category],[1]!TblDV[Category],"")</f>
        <v>Discretionary</v>
      </c>
      <c r="H360" s="33" t="str">
        <f>_xlfn.XLOOKUP(Transactions[[#This Row],[Sub-category]], [1]!TblDV[Sub-category],[1]!TblDV[Category Type],"")</f>
        <v>Expense</v>
      </c>
      <c r="I360" s="34" t="s">
        <v>69</v>
      </c>
    </row>
    <row r="361" spans="1:9" x14ac:dyDescent="0.35">
      <c r="A361" t="s">
        <v>5</v>
      </c>
      <c r="B361" s="30">
        <v>44423</v>
      </c>
      <c r="C361" s="48">
        <v>104.70000000000002</v>
      </c>
      <c r="D361" s="48"/>
      <c r="E361" s="51">
        <f t="shared" si="5"/>
        <v>-104.70000000000002</v>
      </c>
      <c r="F361" s="33" t="s">
        <v>16</v>
      </c>
      <c r="G361" s="33" t="str">
        <f>_xlfn.XLOOKUP(Transactions[[#This Row],[Sub-category]], [1]!TblDV[Sub-category],[1]!TblDV[Category],"")</f>
        <v>Discretionary</v>
      </c>
      <c r="H361" s="33" t="str">
        <f>_xlfn.XLOOKUP(Transactions[[#This Row],[Sub-category]], [1]!TblDV[Sub-category],[1]!TblDV[Category Type],"")</f>
        <v>Expense</v>
      </c>
      <c r="I361" s="34" t="s">
        <v>70</v>
      </c>
    </row>
    <row r="362" spans="1:9" x14ac:dyDescent="0.35">
      <c r="A362" t="s">
        <v>5</v>
      </c>
      <c r="B362" s="30">
        <v>44423</v>
      </c>
      <c r="C362" s="48">
        <v>59.1</v>
      </c>
      <c r="D362" s="48"/>
      <c r="E362" s="51">
        <f t="shared" si="5"/>
        <v>-59.1</v>
      </c>
      <c r="F362" s="33" t="s">
        <v>72</v>
      </c>
      <c r="G362" s="33" t="str">
        <f>_xlfn.XLOOKUP(Transactions[[#This Row],[Sub-category]], [1]!TblDV[Sub-category],[1]!TblDV[Category],"")</f>
        <v>Dining Out</v>
      </c>
      <c r="H362" s="33" t="str">
        <f>_xlfn.XLOOKUP(Transactions[[#This Row],[Sub-category]], [1]!TblDV[Sub-category],[1]!TblDV[Category Type],"")</f>
        <v>Expense</v>
      </c>
      <c r="I362" s="34" t="s">
        <v>71</v>
      </c>
    </row>
    <row r="363" spans="1:9" x14ac:dyDescent="0.35">
      <c r="A363" t="s">
        <v>5</v>
      </c>
      <c r="B363" s="30">
        <v>44424</v>
      </c>
      <c r="C363" s="48">
        <v>35.1</v>
      </c>
      <c r="D363" s="48"/>
      <c r="E363" s="51">
        <f t="shared" si="5"/>
        <v>-35.1</v>
      </c>
      <c r="F363" s="33" t="s">
        <v>27</v>
      </c>
      <c r="G363" s="33" t="str">
        <f>_xlfn.XLOOKUP(Transactions[[#This Row],[Sub-category]], [1]!TblDV[Sub-category],[1]!TblDV[Category],"")</f>
        <v>Transport</v>
      </c>
      <c r="H363" s="33" t="str">
        <f>_xlfn.XLOOKUP(Transactions[[#This Row],[Sub-category]], [1]!TblDV[Sub-category],[1]!TblDV[Category Type],"")</f>
        <v>Expense</v>
      </c>
      <c r="I363" s="34" t="s">
        <v>73</v>
      </c>
    </row>
    <row r="364" spans="1:9" x14ac:dyDescent="0.35">
      <c r="A364" t="s">
        <v>9</v>
      </c>
      <c r="B364" s="30">
        <v>44425</v>
      </c>
      <c r="C364" s="48">
        <v>30</v>
      </c>
      <c r="D364" s="48"/>
      <c r="E364" s="51">
        <f t="shared" si="5"/>
        <v>-30</v>
      </c>
      <c r="F364" s="33" t="s">
        <v>17</v>
      </c>
      <c r="G364" s="33" t="str">
        <f>_xlfn.XLOOKUP(Transactions[[#This Row],[Sub-category]], [1]!TblDV[Sub-category],[1]!TblDV[Category],"")</f>
        <v>Discretionary</v>
      </c>
      <c r="H364" s="33" t="str">
        <f>_xlfn.XLOOKUP(Transactions[[#This Row],[Sub-category]], [1]!TblDV[Sub-category],[1]!TblDV[Category Type],"")</f>
        <v>Expense</v>
      </c>
      <c r="I364" s="34" t="s">
        <v>74</v>
      </c>
    </row>
    <row r="365" spans="1:9" x14ac:dyDescent="0.35">
      <c r="A365" t="s">
        <v>5</v>
      </c>
      <c r="B365" s="30">
        <v>44425</v>
      </c>
      <c r="C365" s="48">
        <v>5</v>
      </c>
      <c r="D365" s="48"/>
      <c r="E365" s="51">
        <f t="shared" si="5"/>
        <v>-5</v>
      </c>
      <c r="F365" s="33" t="s">
        <v>63</v>
      </c>
      <c r="G365" s="33" t="str">
        <f>_xlfn.XLOOKUP(Transactions[[#This Row],[Sub-category]], [1]!TblDV[Sub-category],[1]!TblDV[Category],"")</f>
        <v>Dining Out</v>
      </c>
      <c r="H365" s="33" t="str">
        <f>_xlfn.XLOOKUP(Transactions[[#This Row],[Sub-category]], [1]!TblDV[Sub-category],[1]!TblDV[Category Type],"")</f>
        <v>Expense</v>
      </c>
      <c r="I365" s="34" t="s">
        <v>62</v>
      </c>
    </row>
    <row r="366" spans="1:9" x14ac:dyDescent="0.35">
      <c r="A366" t="s">
        <v>5</v>
      </c>
      <c r="B366" s="30">
        <v>44426</v>
      </c>
      <c r="C366" s="48">
        <v>5</v>
      </c>
      <c r="D366" s="48"/>
      <c r="E366" s="51">
        <f t="shared" si="5"/>
        <v>-5</v>
      </c>
      <c r="F366" s="33" t="s">
        <v>63</v>
      </c>
      <c r="G366" s="33" t="str">
        <f>_xlfn.XLOOKUP(Transactions[[#This Row],[Sub-category]], [1]!TblDV[Sub-category],[1]!TblDV[Category],"")</f>
        <v>Dining Out</v>
      </c>
      <c r="H366" s="33" t="str">
        <f>_xlfn.XLOOKUP(Transactions[[#This Row],[Sub-category]], [1]!TblDV[Sub-category],[1]!TblDV[Category Type],"")</f>
        <v>Expense</v>
      </c>
      <c r="I366" s="34" t="s">
        <v>62</v>
      </c>
    </row>
    <row r="367" spans="1:9" x14ac:dyDescent="0.35">
      <c r="A367" t="s">
        <v>9</v>
      </c>
      <c r="B367" s="30">
        <v>44426</v>
      </c>
      <c r="C367" s="48">
        <v>40</v>
      </c>
      <c r="D367" s="48"/>
      <c r="E367" s="51">
        <f t="shared" si="5"/>
        <v>-40</v>
      </c>
      <c r="F367" s="33" t="s">
        <v>30</v>
      </c>
      <c r="G367" s="33" t="str">
        <f>_xlfn.XLOOKUP(Transactions[[#This Row],[Sub-category]], [1]!TblDV[Sub-category],[1]!TblDV[Category],"")</f>
        <v>Living Expenses</v>
      </c>
      <c r="H367" s="33" t="str">
        <f>_xlfn.XLOOKUP(Transactions[[#This Row],[Sub-category]], [1]!TblDV[Sub-category],[1]!TblDV[Category Type],"")</f>
        <v>Expense</v>
      </c>
      <c r="I367" s="34" t="s">
        <v>76</v>
      </c>
    </row>
    <row r="368" spans="1:9" x14ac:dyDescent="0.35">
      <c r="A368" t="s">
        <v>5</v>
      </c>
      <c r="B368" s="30">
        <v>44427</v>
      </c>
      <c r="C368" s="48">
        <v>52.1</v>
      </c>
      <c r="D368" s="48"/>
      <c r="E368" s="51">
        <f t="shared" si="5"/>
        <v>-52.1</v>
      </c>
      <c r="F368" s="33" t="s">
        <v>22</v>
      </c>
      <c r="G368" s="33" t="str">
        <f>_xlfn.XLOOKUP(Transactions[[#This Row],[Sub-category]], [1]!TblDV[Sub-category],[1]!TblDV[Category],"")</f>
        <v>Discretionary</v>
      </c>
      <c r="H368" s="33" t="str">
        <f>_xlfn.XLOOKUP(Transactions[[#This Row],[Sub-category]], [1]!TblDV[Sub-category],[1]!TblDV[Category Type],"")</f>
        <v>Expense</v>
      </c>
      <c r="I368" s="34" t="s">
        <v>77</v>
      </c>
    </row>
    <row r="369" spans="1:9" x14ac:dyDescent="0.35">
      <c r="A369" t="s">
        <v>5</v>
      </c>
      <c r="B369" s="30">
        <v>44427</v>
      </c>
      <c r="C369" s="48">
        <v>35</v>
      </c>
      <c r="D369" s="48"/>
      <c r="E369" s="51">
        <f t="shared" si="5"/>
        <v>-35</v>
      </c>
      <c r="F369" s="33" t="s">
        <v>15</v>
      </c>
      <c r="G369" s="33" t="str">
        <f>_xlfn.XLOOKUP(Transactions[[#This Row],[Sub-category]], [1]!TblDV[Sub-category],[1]!TblDV[Category],"")</f>
        <v>Discretionary</v>
      </c>
      <c r="H369" s="33" t="str">
        <f>_xlfn.XLOOKUP(Transactions[[#This Row],[Sub-category]], [1]!TblDV[Sub-category],[1]!TblDV[Category Type],"")</f>
        <v>Expense</v>
      </c>
      <c r="I369" s="34" t="s">
        <v>78</v>
      </c>
    </row>
    <row r="370" spans="1:9" x14ac:dyDescent="0.35">
      <c r="A370" t="s">
        <v>5</v>
      </c>
      <c r="B370" s="30">
        <v>44427</v>
      </c>
      <c r="C370" s="48">
        <v>5</v>
      </c>
      <c r="D370" s="48"/>
      <c r="E370" s="51">
        <f t="shared" si="5"/>
        <v>-5</v>
      </c>
      <c r="F370" s="33" t="s">
        <v>63</v>
      </c>
      <c r="G370" s="33" t="str">
        <f>_xlfn.XLOOKUP(Transactions[[#This Row],[Sub-category]], [1]!TblDV[Sub-category],[1]!TblDV[Category],"")</f>
        <v>Dining Out</v>
      </c>
      <c r="H370" s="33" t="str">
        <f>_xlfn.XLOOKUP(Transactions[[#This Row],[Sub-category]], [1]!TblDV[Sub-category],[1]!TblDV[Category Type],"")</f>
        <v>Expense</v>
      </c>
      <c r="I370" s="34" t="s">
        <v>62</v>
      </c>
    </row>
    <row r="371" spans="1:9" x14ac:dyDescent="0.35">
      <c r="A371" t="s">
        <v>5</v>
      </c>
      <c r="B371" s="30">
        <v>44428</v>
      </c>
      <c r="C371" s="48">
        <v>5</v>
      </c>
      <c r="D371" s="48"/>
      <c r="E371" s="51">
        <f t="shared" si="5"/>
        <v>-5</v>
      </c>
      <c r="F371" s="33" t="s">
        <v>63</v>
      </c>
      <c r="G371" s="33" t="str">
        <f>_xlfn.XLOOKUP(Transactions[[#This Row],[Sub-category]], [1]!TblDV[Sub-category],[1]!TblDV[Category],"")</f>
        <v>Dining Out</v>
      </c>
      <c r="H371" s="33" t="str">
        <f>_xlfn.XLOOKUP(Transactions[[#This Row],[Sub-category]], [1]!TblDV[Sub-category],[1]!TblDV[Category Type],"")</f>
        <v>Expense</v>
      </c>
      <c r="I371" s="34" t="s">
        <v>62</v>
      </c>
    </row>
    <row r="372" spans="1:9" x14ac:dyDescent="0.35">
      <c r="A372" t="s">
        <v>5</v>
      </c>
      <c r="B372" s="30">
        <v>44429</v>
      </c>
      <c r="C372" s="48">
        <v>5</v>
      </c>
      <c r="D372" s="48"/>
      <c r="E372" s="51">
        <f t="shared" si="5"/>
        <v>-5</v>
      </c>
      <c r="F372" s="33" t="s">
        <v>63</v>
      </c>
      <c r="G372" s="33" t="str">
        <f>_xlfn.XLOOKUP(Transactions[[#This Row],[Sub-category]], [1]!TblDV[Sub-category],[1]!TblDV[Category],"")</f>
        <v>Dining Out</v>
      </c>
      <c r="H372" s="33" t="str">
        <f>_xlfn.XLOOKUP(Transactions[[#This Row],[Sub-category]], [1]!TblDV[Sub-category],[1]!TblDV[Category Type],"")</f>
        <v>Expense</v>
      </c>
      <c r="I372" s="34" t="s">
        <v>62</v>
      </c>
    </row>
    <row r="373" spans="1:9" x14ac:dyDescent="0.35">
      <c r="A373" t="s">
        <v>5</v>
      </c>
      <c r="B373" s="30">
        <v>44429</v>
      </c>
      <c r="C373" s="48">
        <v>177</v>
      </c>
      <c r="D373" s="48"/>
      <c r="E373" s="51">
        <f t="shared" si="5"/>
        <v>-177</v>
      </c>
      <c r="F373" s="33" t="s">
        <v>14</v>
      </c>
      <c r="G373" s="33" t="str">
        <f>_xlfn.XLOOKUP(Transactions[[#This Row],[Sub-category]], [1]!TblDV[Sub-category],[1]!TblDV[Category],"")</f>
        <v>Living Expenses</v>
      </c>
      <c r="H373" s="33" t="str">
        <f>_xlfn.XLOOKUP(Transactions[[#This Row],[Sub-category]], [1]!TblDV[Sub-category],[1]!TblDV[Category Type],"")</f>
        <v>Expense</v>
      </c>
      <c r="I373" s="34" t="s">
        <v>66</v>
      </c>
    </row>
    <row r="374" spans="1:9" x14ac:dyDescent="0.35">
      <c r="A374" t="s">
        <v>5</v>
      </c>
      <c r="B374" s="30">
        <v>44430</v>
      </c>
      <c r="C374" s="48">
        <v>44.2</v>
      </c>
      <c r="D374" s="48"/>
      <c r="E374" s="51">
        <f t="shared" si="5"/>
        <v>-44.2</v>
      </c>
      <c r="F374" s="33" t="s">
        <v>72</v>
      </c>
      <c r="G374" s="33" t="str">
        <f>_xlfn.XLOOKUP(Transactions[[#This Row],[Sub-category]], [1]!TblDV[Sub-category],[1]!TblDV[Category],"")</f>
        <v>Dining Out</v>
      </c>
      <c r="H374" s="33" t="str">
        <f>_xlfn.XLOOKUP(Transactions[[#This Row],[Sub-category]], [1]!TblDV[Sub-category],[1]!TblDV[Category Type],"")</f>
        <v>Expense</v>
      </c>
      <c r="I374" s="34" t="s">
        <v>79</v>
      </c>
    </row>
    <row r="375" spans="1:9" x14ac:dyDescent="0.35">
      <c r="A375" t="s">
        <v>5</v>
      </c>
      <c r="B375" s="30">
        <v>44431</v>
      </c>
      <c r="C375" s="48">
        <v>19.2</v>
      </c>
      <c r="D375" s="48"/>
      <c r="E375" s="51">
        <f t="shared" si="5"/>
        <v>-19.2</v>
      </c>
      <c r="F375" s="33" t="s">
        <v>72</v>
      </c>
      <c r="G375" s="33" t="str">
        <f>_xlfn.XLOOKUP(Transactions[[#This Row],[Sub-category]], [1]!TblDV[Sub-category],[1]!TblDV[Category],"")</f>
        <v>Dining Out</v>
      </c>
      <c r="H375" s="33" t="str">
        <f>_xlfn.XLOOKUP(Transactions[[#This Row],[Sub-category]], [1]!TblDV[Sub-category],[1]!TblDV[Category Type],"")</f>
        <v>Expense</v>
      </c>
      <c r="I375" s="34" t="s">
        <v>80</v>
      </c>
    </row>
    <row r="376" spans="1:9" x14ac:dyDescent="0.35">
      <c r="A376" t="s">
        <v>9</v>
      </c>
      <c r="B376" s="30">
        <v>44432</v>
      </c>
      <c r="C376" s="48">
        <v>55</v>
      </c>
      <c r="D376" s="48"/>
      <c r="E376" s="51">
        <f t="shared" si="5"/>
        <v>-55</v>
      </c>
      <c r="F376" s="33" t="s">
        <v>23</v>
      </c>
      <c r="G376" s="33" t="str">
        <f>_xlfn.XLOOKUP(Transactions[[#This Row],[Sub-category]], [1]!TblDV[Sub-category],[1]!TblDV[Category],"")</f>
        <v>Charity</v>
      </c>
      <c r="H376" s="33" t="str">
        <f>_xlfn.XLOOKUP(Transactions[[#This Row],[Sub-category]], [1]!TblDV[Sub-category],[1]!TblDV[Category Type],"")</f>
        <v>Expense</v>
      </c>
      <c r="I376" s="34" t="s">
        <v>81</v>
      </c>
    </row>
    <row r="377" spans="1:9" x14ac:dyDescent="0.35">
      <c r="A377" t="s">
        <v>5</v>
      </c>
      <c r="B377" s="30">
        <v>44432</v>
      </c>
      <c r="C377" s="48">
        <v>69.700000000000017</v>
      </c>
      <c r="D377" s="48"/>
      <c r="E377" s="51">
        <f t="shared" si="5"/>
        <v>-69.700000000000017</v>
      </c>
      <c r="F377" s="33" t="s">
        <v>13</v>
      </c>
      <c r="G377" s="33" t="str">
        <f>_xlfn.XLOOKUP(Transactions[[#This Row],[Sub-category]], [1]!TblDV[Sub-category],[1]!TblDV[Category],"")</f>
        <v>Transport</v>
      </c>
      <c r="H377" s="33" t="str">
        <f>_xlfn.XLOOKUP(Transactions[[#This Row],[Sub-category]], [1]!TblDV[Sub-category],[1]!TblDV[Category Type],"")</f>
        <v>Expense</v>
      </c>
      <c r="I377" s="34" t="s">
        <v>68</v>
      </c>
    </row>
    <row r="378" spans="1:9" x14ac:dyDescent="0.35">
      <c r="A378" t="s">
        <v>5</v>
      </c>
      <c r="B378" s="30">
        <v>44432</v>
      </c>
      <c r="C378" s="48">
        <v>5</v>
      </c>
      <c r="D378" s="48"/>
      <c r="E378" s="51">
        <f t="shared" si="5"/>
        <v>-5</v>
      </c>
      <c r="F378" s="33" t="s">
        <v>63</v>
      </c>
      <c r="G378" s="33" t="str">
        <f>_xlfn.XLOOKUP(Transactions[[#This Row],[Sub-category]], [1]!TblDV[Sub-category],[1]!TblDV[Category],"")</f>
        <v>Dining Out</v>
      </c>
      <c r="H378" s="33" t="str">
        <f>_xlfn.XLOOKUP(Transactions[[#This Row],[Sub-category]], [1]!TblDV[Sub-category],[1]!TblDV[Category Type],"")</f>
        <v>Expense</v>
      </c>
      <c r="I378" s="34" t="s">
        <v>62</v>
      </c>
    </row>
    <row r="379" spans="1:9" x14ac:dyDescent="0.35">
      <c r="A379" t="s">
        <v>5</v>
      </c>
      <c r="B379" s="30">
        <v>44433</v>
      </c>
      <c r="C379" s="48">
        <v>5</v>
      </c>
      <c r="D379" s="48"/>
      <c r="E379" s="51">
        <f t="shared" si="5"/>
        <v>-5</v>
      </c>
      <c r="F379" s="33" t="s">
        <v>63</v>
      </c>
      <c r="G379" s="33" t="str">
        <f>_xlfn.XLOOKUP(Transactions[[#This Row],[Sub-category]], [1]!TblDV[Sub-category],[1]!TblDV[Category],"")</f>
        <v>Dining Out</v>
      </c>
      <c r="H379" s="33" t="str">
        <f>_xlfn.XLOOKUP(Transactions[[#This Row],[Sub-category]], [1]!TblDV[Sub-category],[1]!TblDV[Category Type],"")</f>
        <v>Expense</v>
      </c>
      <c r="I379" s="34" t="s">
        <v>62</v>
      </c>
    </row>
    <row r="380" spans="1:9" x14ac:dyDescent="0.35">
      <c r="A380" t="s">
        <v>5</v>
      </c>
      <c r="B380" s="30">
        <v>44434</v>
      </c>
      <c r="C380" s="48">
        <v>5</v>
      </c>
      <c r="D380" s="48"/>
      <c r="E380" s="51">
        <f t="shared" si="5"/>
        <v>-5</v>
      </c>
      <c r="F380" s="33" t="s">
        <v>63</v>
      </c>
      <c r="G380" s="33" t="str">
        <f>_xlfn.XLOOKUP(Transactions[[#This Row],[Sub-category]], [1]!TblDV[Sub-category],[1]!TblDV[Category],"")</f>
        <v>Dining Out</v>
      </c>
      <c r="H380" s="33" t="str">
        <f>_xlfn.XLOOKUP(Transactions[[#This Row],[Sub-category]], [1]!TblDV[Sub-category],[1]!TblDV[Category Type],"")</f>
        <v>Expense</v>
      </c>
      <c r="I380" s="34" t="s">
        <v>62</v>
      </c>
    </row>
    <row r="381" spans="1:9" x14ac:dyDescent="0.35">
      <c r="A381" t="s">
        <v>5</v>
      </c>
      <c r="B381" s="30">
        <v>44435</v>
      </c>
      <c r="C381" s="48">
        <v>5</v>
      </c>
      <c r="D381" s="48"/>
      <c r="E381" s="51">
        <f t="shared" si="5"/>
        <v>-5</v>
      </c>
      <c r="F381" s="33" t="s">
        <v>63</v>
      </c>
      <c r="G381" s="33" t="str">
        <f>_xlfn.XLOOKUP(Transactions[[#This Row],[Sub-category]], [1]!TblDV[Sub-category],[1]!TblDV[Category],"")</f>
        <v>Dining Out</v>
      </c>
      <c r="H381" s="33" t="str">
        <f>_xlfn.XLOOKUP(Transactions[[#This Row],[Sub-category]], [1]!TblDV[Sub-category],[1]!TblDV[Category Type],"")</f>
        <v>Expense</v>
      </c>
      <c r="I381" s="34" t="s">
        <v>62</v>
      </c>
    </row>
    <row r="382" spans="1:9" x14ac:dyDescent="0.35">
      <c r="A382" t="s">
        <v>5</v>
      </c>
      <c r="B382" s="30">
        <v>44436</v>
      </c>
      <c r="C382" s="48">
        <v>5</v>
      </c>
      <c r="D382" s="48"/>
      <c r="E382" s="51">
        <f t="shared" si="5"/>
        <v>-5</v>
      </c>
      <c r="F382" s="33" t="s">
        <v>63</v>
      </c>
      <c r="G382" s="33" t="str">
        <f>_xlfn.XLOOKUP(Transactions[[#This Row],[Sub-category]], [1]!TblDV[Sub-category],[1]!TblDV[Category],"")</f>
        <v>Dining Out</v>
      </c>
      <c r="H382" s="33" t="str">
        <f>_xlfn.XLOOKUP(Transactions[[#This Row],[Sub-category]], [1]!TblDV[Sub-category],[1]!TblDV[Category Type],"")</f>
        <v>Expense</v>
      </c>
      <c r="I382" s="34" t="s">
        <v>62</v>
      </c>
    </row>
    <row r="383" spans="1:9" x14ac:dyDescent="0.35">
      <c r="A383" t="s">
        <v>5</v>
      </c>
      <c r="B383" s="30">
        <v>44436</v>
      </c>
      <c r="C383" s="48">
        <v>117</v>
      </c>
      <c r="D383" s="48"/>
      <c r="E383" s="51">
        <f t="shared" si="5"/>
        <v>-117</v>
      </c>
      <c r="F383" s="33" t="s">
        <v>14</v>
      </c>
      <c r="G383" s="33" t="str">
        <f>_xlfn.XLOOKUP(Transactions[[#This Row],[Sub-category]], [1]!TblDV[Sub-category],[1]!TblDV[Category],"")</f>
        <v>Living Expenses</v>
      </c>
      <c r="H383" s="33" t="str">
        <f>_xlfn.XLOOKUP(Transactions[[#This Row],[Sub-category]], [1]!TblDV[Sub-category],[1]!TblDV[Category Type],"")</f>
        <v>Expense</v>
      </c>
      <c r="I383" s="34" t="s">
        <v>66</v>
      </c>
    </row>
    <row r="384" spans="1:9" x14ac:dyDescent="0.35">
      <c r="A384" t="s">
        <v>5</v>
      </c>
      <c r="B384" s="30">
        <v>44437</v>
      </c>
      <c r="C384" s="48">
        <v>131.9</v>
      </c>
      <c r="D384" s="48"/>
      <c r="E384" s="51">
        <f t="shared" si="5"/>
        <v>-131.9</v>
      </c>
      <c r="F384" s="33" t="s">
        <v>16</v>
      </c>
      <c r="G384" s="33" t="str">
        <f>_xlfn.XLOOKUP(Transactions[[#This Row],[Sub-category]], [1]!TblDV[Sub-category],[1]!TblDV[Category],"")</f>
        <v>Discretionary</v>
      </c>
      <c r="H384" s="33" t="str">
        <f>_xlfn.XLOOKUP(Transactions[[#This Row],[Sub-category]], [1]!TblDV[Sub-category],[1]!TblDV[Category Type],"")</f>
        <v>Expense</v>
      </c>
      <c r="I384" s="34" t="s">
        <v>82</v>
      </c>
    </row>
    <row r="385" spans="1:9" x14ac:dyDescent="0.35">
      <c r="A385" t="s">
        <v>5</v>
      </c>
      <c r="B385" s="30">
        <v>44437</v>
      </c>
      <c r="C385" s="48">
        <v>182.39999999999998</v>
      </c>
      <c r="D385" s="48"/>
      <c r="E385" s="51">
        <f t="shared" si="5"/>
        <v>-182.39999999999998</v>
      </c>
      <c r="F385" s="33" t="s">
        <v>15</v>
      </c>
      <c r="G385" s="33" t="str">
        <f>_xlfn.XLOOKUP(Transactions[[#This Row],[Sub-category]], [1]!TblDV[Sub-category],[1]!TblDV[Category],"")</f>
        <v>Discretionary</v>
      </c>
      <c r="H385" s="33" t="str">
        <f>_xlfn.XLOOKUP(Transactions[[#This Row],[Sub-category]], [1]!TblDV[Sub-category],[1]!TblDV[Category Type],"")</f>
        <v>Expense</v>
      </c>
      <c r="I385" s="34" t="s">
        <v>83</v>
      </c>
    </row>
    <row r="386" spans="1:9" x14ac:dyDescent="0.35">
      <c r="A386" t="s">
        <v>5</v>
      </c>
      <c r="B386" s="30">
        <v>44438</v>
      </c>
      <c r="C386" s="48">
        <v>152.29999999999998</v>
      </c>
      <c r="D386" s="48"/>
      <c r="E386" s="51">
        <f t="shared" ref="E386:E449" si="6">D386-C386</f>
        <v>-152.29999999999998</v>
      </c>
      <c r="F386" s="33" t="s">
        <v>16</v>
      </c>
      <c r="G386" s="33" t="str">
        <f>_xlfn.XLOOKUP(Transactions[[#This Row],[Sub-category]], [1]!TblDV[Sub-category],[1]!TblDV[Category],"")</f>
        <v>Discretionary</v>
      </c>
      <c r="H386" s="33" t="str">
        <f>_xlfn.XLOOKUP(Transactions[[#This Row],[Sub-category]], [1]!TblDV[Sub-category],[1]!TblDV[Category Type],"")</f>
        <v>Expense</v>
      </c>
      <c r="I386" s="34" t="s">
        <v>70</v>
      </c>
    </row>
    <row r="387" spans="1:9" x14ac:dyDescent="0.35">
      <c r="A387" t="s">
        <v>5</v>
      </c>
      <c r="B387" s="30">
        <v>44438</v>
      </c>
      <c r="C387" s="48">
        <v>30.300000000000004</v>
      </c>
      <c r="D387" s="48"/>
      <c r="E387" s="51">
        <f t="shared" si="6"/>
        <v>-30.300000000000004</v>
      </c>
      <c r="F387" s="33" t="s">
        <v>27</v>
      </c>
      <c r="G387" s="33" t="str">
        <f>_xlfn.XLOOKUP(Transactions[[#This Row],[Sub-category]], [1]!TblDV[Sub-category],[1]!TblDV[Category],"")</f>
        <v>Transport</v>
      </c>
      <c r="H387" s="33" t="str">
        <f>_xlfn.XLOOKUP(Transactions[[#This Row],[Sub-category]], [1]!TblDV[Sub-category],[1]!TblDV[Category Type],"")</f>
        <v>Expense</v>
      </c>
      <c r="I387" s="34" t="s">
        <v>73</v>
      </c>
    </row>
    <row r="388" spans="1:9" x14ac:dyDescent="0.35">
      <c r="A388" t="s">
        <v>5</v>
      </c>
      <c r="B388" s="30">
        <v>44438</v>
      </c>
      <c r="C388" s="48">
        <v>15</v>
      </c>
      <c r="D388" s="48"/>
      <c r="E388" s="51">
        <f t="shared" si="6"/>
        <v>-15</v>
      </c>
      <c r="F388" s="33" t="s">
        <v>72</v>
      </c>
      <c r="G388" s="33" t="str">
        <f>_xlfn.XLOOKUP(Transactions[[#This Row],[Sub-category]], [1]!TblDV[Sub-category],[1]!TblDV[Category],"")</f>
        <v>Dining Out</v>
      </c>
      <c r="H388" s="33" t="str">
        <f>_xlfn.XLOOKUP(Transactions[[#This Row],[Sub-category]], [1]!TblDV[Sub-category],[1]!TblDV[Category Type],"")</f>
        <v>Expense</v>
      </c>
      <c r="I388" s="34" t="s">
        <v>87</v>
      </c>
    </row>
    <row r="389" spans="1:9" x14ac:dyDescent="0.35">
      <c r="A389" t="s">
        <v>5</v>
      </c>
      <c r="B389" s="30">
        <v>44439</v>
      </c>
      <c r="C389" s="48">
        <v>5</v>
      </c>
      <c r="D389" s="48"/>
      <c r="E389" s="51">
        <f t="shared" si="6"/>
        <v>-5</v>
      </c>
      <c r="F389" s="33" t="s">
        <v>63</v>
      </c>
      <c r="G389" s="33" t="str">
        <f>_xlfn.XLOOKUP(Transactions[[#This Row],[Sub-category]], [1]!TblDV[Sub-category],[1]!TblDV[Category],"")</f>
        <v>Dining Out</v>
      </c>
      <c r="H389" s="33" t="str">
        <f>_xlfn.XLOOKUP(Transactions[[#This Row],[Sub-category]], [1]!TblDV[Sub-category],[1]!TblDV[Category Type],"")</f>
        <v>Expense</v>
      </c>
      <c r="I389" s="34" t="s">
        <v>62</v>
      </c>
    </row>
    <row r="390" spans="1:9" x14ac:dyDescent="0.35">
      <c r="A390" t="s">
        <v>5</v>
      </c>
      <c r="B390" s="30">
        <v>44441</v>
      </c>
      <c r="C390" s="48">
        <v>5</v>
      </c>
      <c r="D390" s="48"/>
      <c r="E390" s="51">
        <f t="shared" si="6"/>
        <v>-5</v>
      </c>
      <c r="F390" s="33" t="s">
        <v>63</v>
      </c>
      <c r="G390" s="33" t="str">
        <f>_xlfn.XLOOKUP(Transactions[[#This Row],[Sub-category]], [1]!TblDV[Sub-category],[1]!TblDV[Category],"")</f>
        <v>Dining Out</v>
      </c>
      <c r="H390" s="33" t="str">
        <f>_xlfn.XLOOKUP(Transactions[[#This Row],[Sub-category]], [1]!TblDV[Sub-category],[1]!TblDV[Category Type],"")</f>
        <v>Expense</v>
      </c>
      <c r="I390" s="34" t="s">
        <v>62</v>
      </c>
    </row>
    <row r="391" spans="1:9" x14ac:dyDescent="0.35">
      <c r="A391" t="s">
        <v>9</v>
      </c>
      <c r="B391" s="30">
        <v>44441</v>
      </c>
      <c r="C391" s="48"/>
      <c r="D391" s="48">
        <v>4000</v>
      </c>
      <c r="E391" s="51">
        <f t="shared" si="6"/>
        <v>4000</v>
      </c>
      <c r="F391" s="33" t="s">
        <v>7</v>
      </c>
      <c r="G391" s="33" t="str">
        <f>_xlfn.XLOOKUP(Transactions[[#This Row],[Sub-category]], [1]!TblDV[Sub-category],[1]!TblDV[Category],"")</f>
        <v>Salary</v>
      </c>
      <c r="H391" s="33" t="str">
        <f>_xlfn.XLOOKUP(Transactions[[#This Row],[Sub-category]], [1]!TblDV[Sub-category],[1]!TblDV[Category Type],"")</f>
        <v>Income</v>
      </c>
      <c r="I391" s="34" t="s">
        <v>61</v>
      </c>
    </row>
    <row r="392" spans="1:9" x14ac:dyDescent="0.35">
      <c r="A392" t="s">
        <v>5</v>
      </c>
      <c r="B392" s="30">
        <v>44442</v>
      </c>
      <c r="C392" s="48">
        <v>5</v>
      </c>
      <c r="D392" s="48"/>
      <c r="E392" s="51">
        <f t="shared" si="6"/>
        <v>-5</v>
      </c>
      <c r="F392" s="33" t="s">
        <v>63</v>
      </c>
      <c r="G392" s="33" t="str">
        <f>_xlfn.XLOOKUP(Transactions[[#This Row],[Sub-category]], [1]!TblDV[Sub-category],[1]!TblDV[Category],"")</f>
        <v>Dining Out</v>
      </c>
      <c r="H392" s="33" t="str">
        <f>_xlfn.XLOOKUP(Transactions[[#This Row],[Sub-category]], [1]!TblDV[Sub-category],[1]!TblDV[Category Type],"")</f>
        <v>Expense</v>
      </c>
      <c r="I392" s="34" t="s">
        <v>62</v>
      </c>
    </row>
    <row r="393" spans="1:9" x14ac:dyDescent="0.35">
      <c r="A393" t="s">
        <v>9</v>
      </c>
      <c r="B393" s="30">
        <v>44444</v>
      </c>
      <c r="C393" s="48">
        <v>900</v>
      </c>
      <c r="D393" s="48"/>
      <c r="E393" s="51">
        <f t="shared" si="6"/>
        <v>-900</v>
      </c>
      <c r="F393" s="33" t="s">
        <v>10</v>
      </c>
      <c r="G393" s="33" t="str">
        <f>_xlfn.XLOOKUP(Transactions[[#This Row],[Sub-category]], [1]!TblDV[Sub-category],[1]!TblDV[Category],"")</f>
        <v>Living Expenses</v>
      </c>
      <c r="H393" s="33" t="str">
        <f>_xlfn.XLOOKUP(Transactions[[#This Row],[Sub-category]], [1]!TblDV[Sub-category],[1]!TblDV[Category Type],"")</f>
        <v>Expense</v>
      </c>
      <c r="I393" s="34" t="s">
        <v>64</v>
      </c>
    </row>
    <row r="394" spans="1:9" x14ac:dyDescent="0.35">
      <c r="A394" t="s">
        <v>9</v>
      </c>
      <c r="B394" s="30">
        <v>44444</v>
      </c>
      <c r="C394" s="48">
        <v>150</v>
      </c>
      <c r="D394" s="48"/>
      <c r="E394" s="51">
        <f t="shared" si="6"/>
        <v>-150</v>
      </c>
      <c r="F394" s="33" t="s">
        <v>29</v>
      </c>
      <c r="G394" s="33" t="str">
        <f>_xlfn.XLOOKUP(Transactions[[#This Row],[Sub-category]], [1]!TblDV[Sub-category],[1]!TblDV[Category],"")</f>
        <v>Transport</v>
      </c>
      <c r="H394" s="33" t="str">
        <f>_xlfn.XLOOKUP(Transactions[[#This Row],[Sub-category]], [1]!TblDV[Sub-category],[1]!TblDV[Category Type],"")</f>
        <v>Expense</v>
      </c>
      <c r="I394" s="34" t="s">
        <v>65</v>
      </c>
    </row>
    <row r="395" spans="1:9" x14ac:dyDescent="0.35">
      <c r="A395" t="s">
        <v>5</v>
      </c>
      <c r="B395" s="30">
        <v>44444</v>
      </c>
      <c r="C395" s="48">
        <v>5</v>
      </c>
      <c r="D395" s="48"/>
      <c r="E395" s="51">
        <f t="shared" si="6"/>
        <v>-5</v>
      </c>
      <c r="F395" s="33" t="s">
        <v>63</v>
      </c>
      <c r="G395" s="33" t="str">
        <f>_xlfn.XLOOKUP(Transactions[[#This Row],[Sub-category]], [1]!TblDV[Sub-category],[1]!TblDV[Category],"")</f>
        <v>Dining Out</v>
      </c>
      <c r="H395" s="33" t="str">
        <f>_xlfn.XLOOKUP(Transactions[[#This Row],[Sub-category]], [1]!TblDV[Sub-category],[1]!TblDV[Category Type],"")</f>
        <v>Expense</v>
      </c>
      <c r="I395" s="34" t="s">
        <v>62</v>
      </c>
    </row>
    <row r="396" spans="1:9" x14ac:dyDescent="0.35">
      <c r="A396" t="s">
        <v>5</v>
      </c>
      <c r="B396" s="30">
        <v>44444</v>
      </c>
      <c r="C396" s="48">
        <v>5</v>
      </c>
      <c r="D396" s="48"/>
      <c r="E396" s="51">
        <f t="shared" si="6"/>
        <v>-5</v>
      </c>
      <c r="F396" s="33" t="s">
        <v>63</v>
      </c>
      <c r="G396" s="33" t="str">
        <f>_xlfn.XLOOKUP(Transactions[[#This Row],[Sub-category]], [1]!TblDV[Sub-category],[1]!TblDV[Category],"")</f>
        <v>Dining Out</v>
      </c>
      <c r="H396" s="33" t="str">
        <f>_xlfn.XLOOKUP(Transactions[[#This Row],[Sub-category]], [1]!TblDV[Sub-category],[1]!TblDV[Category Type],"")</f>
        <v>Expense</v>
      </c>
      <c r="I396" s="34" t="s">
        <v>62</v>
      </c>
    </row>
    <row r="397" spans="1:9" x14ac:dyDescent="0.35">
      <c r="A397" t="s">
        <v>5</v>
      </c>
      <c r="B397" s="30">
        <v>44445</v>
      </c>
      <c r="C397" s="48">
        <v>5</v>
      </c>
      <c r="D397" s="48"/>
      <c r="E397" s="51">
        <f t="shared" si="6"/>
        <v>-5</v>
      </c>
      <c r="F397" s="33" t="s">
        <v>63</v>
      </c>
      <c r="G397" s="33" t="str">
        <f>_xlfn.XLOOKUP(Transactions[[#This Row],[Sub-category]], [1]!TblDV[Sub-category],[1]!TblDV[Category],"")</f>
        <v>Dining Out</v>
      </c>
      <c r="H397" s="33" t="str">
        <f>_xlfn.XLOOKUP(Transactions[[#This Row],[Sub-category]], [1]!TblDV[Sub-category],[1]!TblDV[Category Type],"")</f>
        <v>Expense</v>
      </c>
      <c r="I397" s="34" t="s">
        <v>62</v>
      </c>
    </row>
    <row r="398" spans="1:9" x14ac:dyDescent="0.35">
      <c r="A398" t="s">
        <v>5</v>
      </c>
      <c r="B398" s="30">
        <v>44446</v>
      </c>
      <c r="C398" s="48">
        <v>5</v>
      </c>
      <c r="D398" s="48"/>
      <c r="E398" s="51">
        <f t="shared" si="6"/>
        <v>-5</v>
      </c>
      <c r="F398" s="33" t="s">
        <v>63</v>
      </c>
      <c r="G398" s="33" t="str">
        <f>_xlfn.XLOOKUP(Transactions[[#This Row],[Sub-category]], [1]!TblDV[Sub-category],[1]!TblDV[Category],"")</f>
        <v>Dining Out</v>
      </c>
      <c r="H398" s="33" t="str">
        <f>_xlfn.XLOOKUP(Transactions[[#This Row],[Sub-category]], [1]!TblDV[Sub-category],[1]!TblDV[Category Type],"")</f>
        <v>Expense</v>
      </c>
      <c r="I398" s="34" t="s">
        <v>62</v>
      </c>
    </row>
    <row r="399" spans="1:9" x14ac:dyDescent="0.35">
      <c r="A399" t="s">
        <v>5</v>
      </c>
      <c r="B399" s="30">
        <v>44446</v>
      </c>
      <c r="C399" s="48">
        <v>163.39999999999998</v>
      </c>
      <c r="D399" s="48"/>
      <c r="E399" s="51">
        <f t="shared" si="6"/>
        <v>-163.39999999999998</v>
      </c>
      <c r="F399" s="33" t="s">
        <v>14</v>
      </c>
      <c r="G399" s="33" t="str">
        <f>_xlfn.XLOOKUP(Transactions[[#This Row],[Sub-category]], [1]!TblDV[Sub-category],[1]!TblDV[Category],"")</f>
        <v>Living Expenses</v>
      </c>
      <c r="H399" s="33" t="str">
        <f>_xlfn.XLOOKUP(Transactions[[#This Row],[Sub-category]], [1]!TblDV[Sub-category],[1]!TblDV[Category Type],"")</f>
        <v>Expense</v>
      </c>
      <c r="I399" s="34" t="s">
        <v>66</v>
      </c>
    </row>
    <row r="400" spans="1:9" x14ac:dyDescent="0.35">
      <c r="A400" t="s">
        <v>9</v>
      </c>
      <c r="B400" s="30">
        <v>44449</v>
      </c>
      <c r="C400" s="48">
        <v>58.1</v>
      </c>
      <c r="D400" s="48"/>
      <c r="E400" s="51">
        <f t="shared" si="6"/>
        <v>-58.1</v>
      </c>
      <c r="F400" s="33" t="s">
        <v>12</v>
      </c>
      <c r="G400" s="33" t="str">
        <f>_xlfn.XLOOKUP(Transactions[[#This Row],[Sub-category]], [1]!TblDV[Sub-category],[1]!TblDV[Category],"")</f>
        <v>Living Expenses</v>
      </c>
      <c r="H400" s="33" t="str">
        <f>_xlfn.XLOOKUP(Transactions[[#This Row],[Sub-category]], [1]!TblDV[Sub-category],[1]!TblDV[Category Type],"")</f>
        <v>Expense</v>
      </c>
      <c r="I400" s="34" t="s">
        <v>67</v>
      </c>
    </row>
    <row r="401" spans="1:9" x14ac:dyDescent="0.35">
      <c r="A401" t="s">
        <v>5</v>
      </c>
      <c r="B401" s="30">
        <v>44449</v>
      </c>
      <c r="C401" s="48">
        <v>5</v>
      </c>
      <c r="D401" s="48"/>
      <c r="E401" s="51">
        <f t="shared" si="6"/>
        <v>-5</v>
      </c>
      <c r="F401" s="33" t="s">
        <v>63</v>
      </c>
      <c r="G401" s="33" t="str">
        <f>_xlfn.XLOOKUP(Transactions[[#This Row],[Sub-category]], [1]!TblDV[Sub-category],[1]!TblDV[Category],"")</f>
        <v>Dining Out</v>
      </c>
      <c r="H401" s="33" t="str">
        <f>_xlfn.XLOOKUP(Transactions[[#This Row],[Sub-category]], [1]!TblDV[Sub-category],[1]!TblDV[Category Type],"")</f>
        <v>Expense</v>
      </c>
      <c r="I401" s="34" t="s">
        <v>62</v>
      </c>
    </row>
    <row r="402" spans="1:9" x14ac:dyDescent="0.35">
      <c r="A402" t="s">
        <v>5</v>
      </c>
      <c r="B402" s="30">
        <v>44450</v>
      </c>
      <c r="C402" s="48">
        <v>5</v>
      </c>
      <c r="D402" s="48"/>
      <c r="E402" s="51">
        <f t="shared" si="6"/>
        <v>-5</v>
      </c>
      <c r="F402" s="33" t="s">
        <v>63</v>
      </c>
      <c r="G402" s="33" t="str">
        <f>_xlfn.XLOOKUP(Transactions[[#This Row],[Sub-category]], [1]!TblDV[Sub-category],[1]!TblDV[Category],"")</f>
        <v>Dining Out</v>
      </c>
      <c r="H402" s="33" t="str">
        <f>_xlfn.XLOOKUP(Transactions[[#This Row],[Sub-category]], [1]!TblDV[Sub-category],[1]!TblDV[Category Type],"")</f>
        <v>Expense</v>
      </c>
      <c r="I402" s="34" t="s">
        <v>62</v>
      </c>
    </row>
    <row r="403" spans="1:9" x14ac:dyDescent="0.35">
      <c r="A403" t="s">
        <v>5</v>
      </c>
      <c r="B403" s="30">
        <v>44451</v>
      </c>
      <c r="C403" s="48">
        <v>85.299999999999983</v>
      </c>
      <c r="D403" s="48"/>
      <c r="E403" s="51">
        <f t="shared" si="6"/>
        <v>-85.299999999999983</v>
      </c>
      <c r="F403" s="33" t="s">
        <v>13</v>
      </c>
      <c r="G403" s="33" t="str">
        <f>_xlfn.XLOOKUP(Transactions[[#This Row],[Sub-category]], [1]!TblDV[Sub-category],[1]!TblDV[Category],"")</f>
        <v>Transport</v>
      </c>
      <c r="H403" s="33" t="str">
        <f>_xlfn.XLOOKUP(Transactions[[#This Row],[Sub-category]], [1]!TblDV[Sub-category],[1]!TblDV[Category Type],"")</f>
        <v>Expense</v>
      </c>
      <c r="I403" s="34" t="s">
        <v>68</v>
      </c>
    </row>
    <row r="404" spans="1:9" x14ac:dyDescent="0.35">
      <c r="A404" t="s">
        <v>5</v>
      </c>
      <c r="B404" s="30">
        <v>44451</v>
      </c>
      <c r="C404" s="48">
        <v>5</v>
      </c>
      <c r="D404" s="48"/>
      <c r="E404" s="51">
        <f t="shared" si="6"/>
        <v>-5</v>
      </c>
      <c r="F404" s="33" t="s">
        <v>63</v>
      </c>
      <c r="G404" s="33" t="str">
        <f>_xlfn.XLOOKUP(Transactions[[#This Row],[Sub-category]], [1]!TblDV[Sub-category],[1]!TblDV[Category],"")</f>
        <v>Dining Out</v>
      </c>
      <c r="H404" s="33" t="str">
        <f>_xlfn.XLOOKUP(Transactions[[#This Row],[Sub-category]], [1]!TblDV[Sub-category],[1]!TblDV[Category Type],"")</f>
        <v>Expense</v>
      </c>
      <c r="I404" s="34" t="s">
        <v>62</v>
      </c>
    </row>
    <row r="405" spans="1:9" x14ac:dyDescent="0.35">
      <c r="A405" t="s">
        <v>5</v>
      </c>
      <c r="B405" s="30">
        <v>44452</v>
      </c>
      <c r="C405" s="48">
        <v>5</v>
      </c>
      <c r="D405" s="48"/>
      <c r="E405" s="51">
        <f t="shared" si="6"/>
        <v>-5</v>
      </c>
      <c r="F405" s="33" t="s">
        <v>63</v>
      </c>
      <c r="G405" s="33" t="str">
        <f>_xlfn.XLOOKUP(Transactions[[#This Row],[Sub-category]], [1]!TblDV[Sub-category],[1]!TblDV[Category],"")</f>
        <v>Dining Out</v>
      </c>
      <c r="H405" s="33" t="str">
        <f>_xlfn.XLOOKUP(Transactions[[#This Row],[Sub-category]], [1]!TblDV[Sub-category],[1]!TblDV[Category Type],"")</f>
        <v>Expense</v>
      </c>
      <c r="I405" s="34" t="s">
        <v>62</v>
      </c>
    </row>
    <row r="406" spans="1:9" x14ac:dyDescent="0.35">
      <c r="A406" t="s">
        <v>5</v>
      </c>
      <c r="B406" s="30">
        <v>44453</v>
      </c>
      <c r="C406" s="48">
        <v>143</v>
      </c>
      <c r="D406" s="48"/>
      <c r="E406" s="51">
        <f t="shared" si="6"/>
        <v>-143</v>
      </c>
      <c r="F406" s="33" t="s">
        <v>14</v>
      </c>
      <c r="G406" s="33" t="str">
        <f>_xlfn.XLOOKUP(Transactions[[#This Row],[Sub-category]], [1]!TblDV[Sub-category],[1]!TblDV[Category],"")</f>
        <v>Living Expenses</v>
      </c>
      <c r="H406" s="33" t="str">
        <f>_xlfn.XLOOKUP(Transactions[[#This Row],[Sub-category]], [1]!TblDV[Sub-category],[1]!TblDV[Category Type],"")</f>
        <v>Expense</v>
      </c>
      <c r="I406" s="34" t="s">
        <v>66</v>
      </c>
    </row>
    <row r="407" spans="1:9" x14ac:dyDescent="0.35">
      <c r="A407" t="s">
        <v>5</v>
      </c>
      <c r="B407" s="30">
        <v>44453</v>
      </c>
      <c r="C407" s="48">
        <v>5</v>
      </c>
      <c r="D407" s="48"/>
      <c r="E407" s="51">
        <f t="shared" si="6"/>
        <v>-5</v>
      </c>
      <c r="F407" s="33" t="s">
        <v>63</v>
      </c>
      <c r="G407" s="33" t="str">
        <f>_xlfn.XLOOKUP(Transactions[[#This Row],[Sub-category]], [1]!TblDV[Sub-category],[1]!TblDV[Category],"")</f>
        <v>Dining Out</v>
      </c>
      <c r="H407" s="33" t="str">
        <f>_xlfn.XLOOKUP(Transactions[[#This Row],[Sub-category]], [1]!TblDV[Sub-category],[1]!TblDV[Category Type],"")</f>
        <v>Expense</v>
      </c>
      <c r="I407" s="34" t="s">
        <v>62</v>
      </c>
    </row>
    <row r="408" spans="1:9" x14ac:dyDescent="0.35">
      <c r="A408" t="s">
        <v>5</v>
      </c>
      <c r="B408" s="30">
        <v>44454</v>
      </c>
      <c r="C408" s="48">
        <v>5</v>
      </c>
      <c r="D408" s="48"/>
      <c r="E408" s="51">
        <f t="shared" si="6"/>
        <v>-5</v>
      </c>
      <c r="F408" s="33" t="s">
        <v>63</v>
      </c>
      <c r="G408" s="33" t="str">
        <f>_xlfn.XLOOKUP(Transactions[[#This Row],[Sub-category]], [1]!TblDV[Sub-category],[1]!TblDV[Category],"")</f>
        <v>Dining Out</v>
      </c>
      <c r="H408" s="33" t="str">
        <f>_xlfn.XLOOKUP(Transactions[[#This Row],[Sub-category]], [1]!TblDV[Sub-category],[1]!TblDV[Category Type],"")</f>
        <v>Expense</v>
      </c>
      <c r="I408" s="34" t="s">
        <v>62</v>
      </c>
    </row>
    <row r="409" spans="1:9" x14ac:dyDescent="0.35">
      <c r="A409" t="s">
        <v>5</v>
      </c>
      <c r="B409" s="30">
        <v>44454</v>
      </c>
      <c r="C409" s="48">
        <v>47.8</v>
      </c>
      <c r="D409" s="48"/>
      <c r="E409" s="51">
        <f t="shared" si="6"/>
        <v>-47.8</v>
      </c>
      <c r="F409" s="33" t="s">
        <v>15</v>
      </c>
      <c r="G409" s="33" t="str">
        <f>_xlfn.XLOOKUP(Transactions[[#This Row],[Sub-category]], [1]!TblDV[Sub-category],[1]!TblDV[Category],"")</f>
        <v>Discretionary</v>
      </c>
      <c r="H409" s="33" t="str">
        <f>_xlfn.XLOOKUP(Transactions[[#This Row],[Sub-category]], [1]!TblDV[Sub-category],[1]!TblDV[Category Type],"")</f>
        <v>Expense</v>
      </c>
      <c r="I409" s="34" t="s">
        <v>69</v>
      </c>
    </row>
    <row r="410" spans="1:9" x14ac:dyDescent="0.35">
      <c r="A410" t="s">
        <v>5</v>
      </c>
      <c r="B410" s="30">
        <v>44454</v>
      </c>
      <c r="C410" s="48">
        <v>105.80000000000001</v>
      </c>
      <c r="D410" s="48"/>
      <c r="E410" s="51">
        <f t="shared" si="6"/>
        <v>-105.80000000000001</v>
      </c>
      <c r="F410" s="33" t="s">
        <v>16</v>
      </c>
      <c r="G410" s="33" t="str">
        <f>_xlfn.XLOOKUP(Transactions[[#This Row],[Sub-category]], [1]!TblDV[Sub-category],[1]!TblDV[Category],"")</f>
        <v>Discretionary</v>
      </c>
      <c r="H410" s="33" t="str">
        <f>_xlfn.XLOOKUP(Transactions[[#This Row],[Sub-category]], [1]!TblDV[Sub-category],[1]!TblDV[Category Type],"")</f>
        <v>Expense</v>
      </c>
      <c r="I410" s="34" t="s">
        <v>70</v>
      </c>
    </row>
    <row r="411" spans="1:9" x14ac:dyDescent="0.35">
      <c r="A411" t="s">
        <v>5</v>
      </c>
      <c r="B411" s="30">
        <v>44454</v>
      </c>
      <c r="C411" s="48">
        <v>60.1</v>
      </c>
      <c r="D411" s="48"/>
      <c r="E411" s="51">
        <f t="shared" si="6"/>
        <v>-60.1</v>
      </c>
      <c r="F411" s="33" t="s">
        <v>72</v>
      </c>
      <c r="G411" s="33" t="str">
        <f>_xlfn.XLOOKUP(Transactions[[#This Row],[Sub-category]], [1]!TblDV[Sub-category],[1]!TblDV[Category],"")</f>
        <v>Dining Out</v>
      </c>
      <c r="H411" s="33" t="str">
        <f>_xlfn.XLOOKUP(Transactions[[#This Row],[Sub-category]], [1]!TblDV[Sub-category],[1]!TblDV[Category Type],"")</f>
        <v>Expense</v>
      </c>
      <c r="I411" s="34" t="s">
        <v>71</v>
      </c>
    </row>
    <row r="412" spans="1:9" x14ac:dyDescent="0.35">
      <c r="A412" t="s">
        <v>5</v>
      </c>
      <c r="B412" s="30">
        <v>44455</v>
      </c>
      <c r="C412" s="48">
        <v>36.200000000000003</v>
      </c>
      <c r="D412" s="48"/>
      <c r="E412" s="51">
        <f t="shared" si="6"/>
        <v>-36.200000000000003</v>
      </c>
      <c r="F412" s="33" t="s">
        <v>27</v>
      </c>
      <c r="G412" s="33" t="str">
        <f>_xlfn.XLOOKUP(Transactions[[#This Row],[Sub-category]], [1]!TblDV[Sub-category],[1]!TblDV[Category],"")</f>
        <v>Transport</v>
      </c>
      <c r="H412" s="33" t="str">
        <f>_xlfn.XLOOKUP(Transactions[[#This Row],[Sub-category]], [1]!TblDV[Sub-category],[1]!TblDV[Category Type],"")</f>
        <v>Expense</v>
      </c>
      <c r="I412" s="34" t="s">
        <v>73</v>
      </c>
    </row>
    <row r="413" spans="1:9" x14ac:dyDescent="0.35">
      <c r="A413" t="s">
        <v>9</v>
      </c>
      <c r="B413" s="30">
        <v>44456</v>
      </c>
      <c r="C413" s="48">
        <v>30</v>
      </c>
      <c r="D413" s="48"/>
      <c r="E413" s="51">
        <f t="shared" si="6"/>
        <v>-30</v>
      </c>
      <c r="F413" s="33" t="s">
        <v>17</v>
      </c>
      <c r="G413" s="33" t="str">
        <f>_xlfn.XLOOKUP(Transactions[[#This Row],[Sub-category]], [1]!TblDV[Sub-category],[1]!TblDV[Category],"")</f>
        <v>Discretionary</v>
      </c>
      <c r="H413" s="33" t="str">
        <f>_xlfn.XLOOKUP(Transactions[[#This Row],[Sub-category]], [1]!TblDV[Sub-category],[1]!TblDV[Category Type],"")</f>
        <v>Expense</v>
      </c>
      <c r="I413" s="34" t="s">
        <v>74</v>
      </c>
    </row>
    <row r="414" spans="1:9" x14ac:dyDescent="0.35">
      <c r="A414" t="s">
        <v>5</v>
      </c>
      <c r="B414" s="30">
        <v>44456</v>
      </c>
      <c r="C414" s="48">
        <v>5</v>
      </c>
      <c r="D414" s="48"/>
      <c r="E414" s="51">
        <f t="shared" si="6"/>
        <v>-5</v>
      </c>
      <c r="F414" s="33" t="s">
        <v>63</v>
      </c>
      <c r="G414" s="33" t="str">
        <f>_xlfn.XLOOKUP(Transactions[[#This Row],[Sub-category]], [1]!TblDV[Sub-category],[1]!TblDV[Category],"")</f>
        <v>Dining Out</v>
      </c>
      <c r="H414" s="33" t="str">
        <f>_xlfn.XLOOKUP(Transactions[[#This Row],[Sub-category]], [1]!TblDV[Sub-category],[1]!TblDV[Category Type],"")</f>
        <v>Expense</v>
      </c>
      <c r="I414" s="34" t="s">
        <v>62</v>
      </c>
    </row>
    <row r="415" spans="1:9" x14ac:dyDescent="0.35">
      <c r="A415" t="s">
        <v>5</v>
      </c>
      <c r="B415" s="30">
        <v>44457</v>
      </c>
      <c r="C415" s="48">
        <v>5</v>
      </c>
      <c r="D415" s="48"/>
      <c r="E415" s="51">
        <f t="shared" si="6"/>
        <v>-5</v>
      </c>
      <c r="F415" s="33" t="s">
        <v>63</v>
      </c>
      <c r="G415" s="33" t="str">
        <f>_xlfn.XLOOKUP(Transactions[[#This Row],[Sub-category]], [1]!TblDV[Sub-category],[1]!TblDV[Category],"")</f>
        <v>Dining Out</v>
      </c>
      <c r="H415" s="33" t="str">
        <f>_xlfn.XLOOKUP(Transactions[[#This Row],[Sub-category]], [1]!TblDV[Sub-category],[1]!TblDV[Category Type],"")</f>
        <v>Expense</v>
      </c>
      <c r="I415" s="34" t="s">
        <v>62</v>
      </c>
    </row>
    <row r="416" spans="1:9" x14ac:dyDescent="0.35">
      <c r="A416" t="s">
        <v>9</v>
      </c>
      <c r="B416" s="30">
        <v>44457</v>
      </c>
      <c r="C416" s="48">
        <v>40</v>
      </c>
      <c r="D416" s="48"/>
      <c r="E416" s="51">
        <f t="shared" si="6"/>
        <v>-40</v>
      </c>
      <c r="F416" s="33" t="s">
        <v>30</v>
      </c>
      <c r="G416" s="33" t="str">
        <f>_xlfn.XLOOKUP(Transactions[[#This Row],[Sub-category]], [1]!TblDV[Sub-category],[1]!TblDV[Category],"")</f>
        <v>Living Expenses</v>
      </c>
      <c r="H416" s="33" t="str">
        <f>_xlfn.XLOOKUP(Transactions[[#This Row],[Sub-category]], [1]!TblDV[Sub-category],[1]!TblDV[Category Type],"")</f>
        <v>Expense</v>
      </c>
      <c r="I416" s="34" t="s">
        <v>76</v>
      </c>
    </row>
    <row r="417" spans="1:9" x14ac:dyDescent="0.35">
      <c r="A417" t="s">
        <v>5</v>
      </c>
      <c r="B417" s="30">
        <v>44458</v>
      </c>
      <c r="C417" s="48">
        <v>53</v>
      </c>
      <c r="D417" s="48"/>
      <c r="E417" s="51">
        <f t="shared" si="6"/>
        <v>-53</v>
      </c>
      <c r="F417" s="33" t="s">
        <v>22</v>
      </c>
      <c r="G417" s="33" t="str">
        <f>_xlfn.XLOOKUP(Transactions[[#This Row],[Sub-category]], [1]!TblDV[Sub-category],[1]!TblDV[Category],"")</f>
        <v>Discretionary</v>
      </c>
      <c r="H417" s="33" t="str">
        <f>_xlfn.XLOOKUP(Transactions[[#This Row],[Sub-category]], [1]!TblDV[Sub-category],[1]!TblDV[Category Type],"")</f>
        <v>Expense</v>
      </c>
      <c r="I417" s="34" t="s">
        <v>77</v>
      </c>
    </row>
    <row r="418" spans="1:9" x14ac:dyDescent="0.35">
      <c r="A418" t="s">
        <v>5</v>
      </c>
      <c r="B418" s="30">
        <v>44458</v>
      </c>
      <c r="C418" s="48">
        <v>35</v>
      </c>
      <c r="D418" s="48"/>
      <c r="E418" s="51">
        <f t="shared" si="6"/>
        <v>-35</v>
      </c>
      <c r="F418" s="33" t="s">
        <v>15</v>
      </c>
      <c r="G418" s="33" t="str">
        <f>_xlfn.XLOOKUP(Transactions[[#This Row],[Sub-category]], [1]!TblDV[Sub-category],[1]!TblDV[Category],"")</f>
        <v>Discretionary</v>
      </c>
      <c r="H418" s="33" t="str">
        <f>_xlfn.XLOOKUP(Transactions[[#This Row],[Sub-category]], [1]!TblDV[Sub-category],[1]!TblDV[Category Type],"")</f>
        <v>Expense</v>
      </c>
      <c r="I418" s="34" t="s">
        <v>78</v>
      </c>
    </row>
    <row r="419" spans="1:9" x14ac:dyDescent="0.35">
      <c r="A419" t="s">
        <v>5</v>
      </c>
      <c r="B419" s="30">
        <v>44458</v>
      </c>
      <c r="C419" s="48">
        <v>5</v>
      </c>
      <c r="D419" s="48"/>
      <c r="E419" s="51">
        <f t="shared" si="6"/>
        <v>-5</v>
      </c>
      <c r="F419" s="33" t="s">
        <v>63</v>
      </c>
      <c r="G419" s="33" t="str">
        <f>_xlfn.XLOOKUP(Transactions[[#This Row],[Sub-category]], [1]!TblDV[Sub-category],[1]!TblDV[Category],"")</f>
        <v>Dining Out</v>
      </c>
      <c r="H419" s="33" t="str">
        <f>_xlfn.XLOOKUP(Transactions[[#This Row],[Sub-category]], [1]!TblDV[Sub-category],[1]!TblDV[Category Type],"")</f>
        <v>Expense</v>
      </c>
      <c r="I419" s="34" t="s">
        <v>62</v>
      </c>
    </row>
    <row r="420" spans="1:9" x14ac:dyDescent="0.35">
      <c r="A420" t="s">
        <v>5</v>
      </c>
      <c r="B420" s="30">
        <v>44459</v>
      </c>
      <c r="C420" s="48">
        <v>5</v>
      </c>
      <c r="D420" s="48"/>
      <c r="E420" s="51">
        <f t="shared" si="6"/>
        <v>-5</v>
      </c>
      <c r="F420" s="33" t="s">
        <v>63</v>
      </c>
      <c r="G420" s="33" t="str">
        <f>_xlfn.XLOOKUP(Transactions[[#This Row],[Sub-category]], [1]!TblDV[Sub-category],[1]!TblDV[Category],"")</f>
        <v>Dining Out</v>
      </c>
      <c r="H420" s="33" t="str">
        <f>_xlfn.XLOOKUP(Transactions[[#This Row],[Sub-category]], [1]!TblDV[Sub-category],[1]!TblDV[Category Type],"")</f>
        <v>Expense</v>
      </c>
      <c r="I420" s="34" t="s">
        <v>62</v>
      </c>
    </row>
    <row r="421" spans="1:9" x14ac:dyDescent="0.35">
      <c r="A421" t="s">
        <v>5</v>
      </c>
      <c r="B421" s="30">
        <v>44460</v>
      </c>
      <c r="C421" s="48">
        <v>5</v>
      </c>
      <c r="D421" s="48"/>
      <c r="E421" s="51">
        <f t="shared" si="6"/>
        <v>-5</v>
      </c>
      <c r="F421" s="33" t="s">
        <v>63</v>
      </c>
      <c r="G421" s="33" t="str">
        <f>_xlfn.XLOOKUP(Transactions[[#This Row],[Sub-category]], [1]!TblDV[Sub-category],[1]!TblDV[Category],"")</f>
        <v>Dining Out</v>
      </c>
      <c r="H421" s="33" t="str">
        <f>_xlfn.XLOOKUP(Transactions[[#This Row],[Sub-category]], [1]!TblDV[Sub-category],[1]!TblDV[Category Type],"")</f>
        <v>Expense</v>
      </c>
      <c r="I421" s="34" t="s">
        <v>62</v>
      </c>
    </row>
    <row r="422" spans="1:9" x14ac:dyDescent="0.35">
      <c r="A422" t="s">
        <v>5</v>
      </c>
      <c r="B422" s="30">
        <v>44460</v>
      </c>
      <c r="C422" s="48">
        <v>177.9</v>
      </c>
      <c r="D422" s="48"/>
      <c r="E422" s="51">
        <f t="shared" si="6"/>
        <v>-177.9</v>
      </c>
      <c r="F422" s="33" t="s">
        <v>14</v>
      </c>
      <c r="G422" s="33" t="str">
        <f>_xlfn.XLOOKUP(Transactions[[#This Row],[Sub-category]], [1]!TblDV[Sub-category],[1]!TblDV[Category],"")</f>
        <v>Living Expenses</v>
      </c>
      <c r="H422" s="33" t="str">
        <f>_xlfn.XLOOKUP(Transactions[[#This Row],[Sub-category]], [1]!TblDV[Sub-category],[1]!TblDV[Category Type],"")</f>
        <v>Expense</v>
      </c>
      <c r="I422" s="34" t="s">
        <v>66</v>
      </c>
    </row>
    <row r="423" spans="1:9" x14ac:dyDescent="0.35">
      <c r="A423" t="s">
        <v>5</v>
      </c>
      <c r="B423" s="30">
        <v>44461</v>
      </c>
      <c r="C423" s="48">
        <v>45.300000000000004</v>
      </c>
      <c r="D423" s="48"/>
      <c r="E423" s="51">
        <f t="shared" si="6"/>
        <v>-45.300000000000004</v>
      </c>
      <c r="F423" s="33" t="s">
        <v>72</v>
      </c>
      <c r="G423" s="33" t="str">
        <f>_xlfn.XLOOKUP(Transactions[[#This Row],[Sub-category]], [1]!TblDV[Sub-category],[1]!TblDV[Category],"")</f>
        <v>Dining Out</v>
      </c>
      <c r="H423" s="33" t="str">
        <f>_xlfn.XLOOKUP(Transactions[[#This Row],[Sub-category]], [1]!TblDV[Sub-category],[1]!TblDV[Category Type],"")</f>
        <v>Expense</v>
      </c>
      <c r="I423" s="34" t="s">
        <v>79</v>
      </c>
    </row>
    <row r="424" spans="1:9" x14ac:dyDescent="0.35">
      <c r="A424" t="s">
        <v>5</v>
      </c>
      <c r="B424" s="30">
        <v>44462</v>
      </c>
      <c r="C424" s="48">
        <v>20.099999999999998</v>
      </c>
      <c r="D424" s="48"/>
      <c r="E424" s="51">
        <f t="shared" si="6"/>
        <v>-20.099999999999998</v>
      </c>
      <c r="F424" s="33" t="s">
        <v>72</v>
      </c>
      <c r="G424" s="33" t="str">
        <f>_xlfn.XLOOKUP(Transactions[[#This Row],[Sub-category]], [1]!TblDV[Sub-category],[1]!TblDV[Category],"")</f>
        <v>Dining Out</v>
      </c>
      <c r="H424" s="33" t="str">
        <f>_xlfn.XLOOKUP(Transactions[[#This Row],[Sub-category]], [1]!TblDV[Sub-category],[1]!TblDV[Category Type],"")</f>
        <v>Expense</v>
      </c>
      <c r="I424" s="34" t="s">
        <v>80</v>
      </c>
    </row>
    <row r="425" spans="1:9" x14ac:dyDescent="0.35">
      <c r="A425" t="s">
        <v>9</v>
      </c>
      <c r="B425" s="30">
        <v>44463</v>
      </c>
      <c r="C425" s="48">
        <v>55</v>
      </c>
      <c r="D425" s="48"/>
      <c r="E425" s="51">
        <f t="shared" si="6"/>
        <v>-55</v>
      </c>
      <c r="F425" s="33" t="s">
        <v>23</v>
      </c>
      <c r="G425" s="33" t="str">
        <f>_xlfn.XLOOKUP(Transactions[[#This Row],[Sub-category]], [1]!TblDV[Sub-category],[1]!TblDV[Category],"")</f>
        <v>Charity</v>
      </c>
      <c r="H425" s="33" t="str">
        <f>_xlfn.XLOOKUP(Transactions[[#This Row],[Sub-category]], [1]!TblDV[Sub-category],[1]!TblDV[Category Type],"")</f>
        <v>Expense</v>
      </c>
      <c r="I425" s="34" t="s">
        <v>81</v>
      </c>
    </row>
    <row r="426" spans="1:9" x14ac:dyDescent="0.35">
      <c r="A426" t="s">
        <v>5</v>
      </c>
      <c r="B426" s="30">
        <v>44463</v>
      </c>
      <c r="C426" s="48">
        <v>70.600000000000023</v>
      </c>
      <c r="D426" s="48"/>
      <c r="E426" s="51">
        <f t="shared" si="6"/>
        <v>-70.600000000000023</v>
      </c>
      <c r="F426" s="33" t="s">
        <v>13</v>
      </c>
      <c r="G426" s="33" t="str">
        <f>_xlfn.XLOOKUP(Transactions[[#This Row],[Sub-category]], [1]!TblDV[Sub-category],[1]!TblDV[Category],"")</f>
        <v>Transport</v>
      </c>
      <c r="H426" s="33" t="str">
        <f>_xlfn.XLOOKUP(Transactions[[#This Row],[Sub-category]], [1]!TblDV[Sub-category],[1]!TblDV[Category Type],"")</f>
        <v>Expense</v>
      </c>
      <c r="I426" s="34" t="s">
        <v>68</v>
      </c>
    </row>
    <row r="427" spans="1:9" x14ac:dyDescent="0.35">
      <c r="A427" t="s">
        <v>5</v>
      </c>
      <c r="B427" s="30">
        <v>44463</v>
      </c>
      <c r="C427" s="48">
        <v>5</v>
      </c>
      <c r="D427" s="48"/>
      <c r="E427" s="51">
        <f t="shared" si="6"/>
        <v>-5</v>
      </c>
      <c r="F427" s="33" t="s">
        <v>63</v>
      </c>
      <c r="G427" s="33" t="str">
        <f>_xlfn.XLOOKUP(Transactions[[#This Row],[Sub-category]], [1]!TblDV[Sub-category],[1]!TblDV[Category],"")</f>
        <v>Dining Out</v>
      </c>
      <c r="H427" s="33" t="str">
        <f>_xlfn.XLOOKUP(Transactions[[#This Row],[Sub-category]], [1]!TblDV[Sub-category],[1]!TblDV[Category Type],"")</f>
        <v>Expense</v>
      </c>
      <c r="I427" s="34" t="s">
        <v>62</v>
      </c>
    </row>
    <row r="428" spans="1:9" x14ac:dyDescent="0.35">
      <c r="A428" t="s">
        <v>5</v>
      </c>
      <c r="B428" s="30">
        <v>44464</v>
      </c>
      <c r="C428" s="48">
        <v>5</v>
      </c>
      <c r="D428" s="48"/>
      <c r="E428" s="51">
        <f t="shared" si="6"/>
        <v>-5</v>
      </c>
      <c r="F428" s="33" t="s">
        <v>63</v>
      </c>
      <c r="G428" s="33" t="str">
        <f>_xlfn.XLOOKUP(Transactions[[#This Row],[Sub-category]], [1]!TblDV[Sub-category],[1]!TblDV[Category],"")</f>
        <v>Dining Out</v>
      </c>
      <c r="H428" s="33" t="str">
        <f>_xlfn.XLOOKUP(Transactions[[#This Row],[Sub-category]], [1]!TblDV[Sub-category],[1]!TblDV[Category Type],"")</f>
        <v>Expense</v>
      </c>
      <c r="I428" s="34" t="s">
        <v>62</v>
      </c>
    </row>
    <row r="429" spans="1:9" x14ac:dyDescent="0.35">
      <c r="A429" t="s">
        <v>5</v>
      </c>
      <c r="B429" s="30">
        <v>44465</v>
      </c>
      <c r="C429" s="48">
        <v>5</v>
      </c>
      <c r="D429" s="48"/>
      <c r="E429" s="51">
        <f t="shared" si="6"/>
        <v>-5</v>
      </c>
      <c r="F429" s="33" t="s">
        <v>63</v>
      </c>
      <c r="G429" s="33" t="str">
        <f>_xlfn.XLOOKUP(Transactions[[#This Row],[Sub-category]], [1]!TblDV[Sub-category],[1]!TblDV[Category],"")</f>
        <v>Dining Out</v>
      </c>
      <c r="H429" s="33" t="str">
        <f>_xlfn.XLOOKUP(Transactions[[#This Row],[Sub-category]], [1]!TblDV[Sub-category],[1]!TblDV[Category Type],"")</f>
        <v>Expense</v>
      </c>
      <c r="I429" s="34" t="s">
        <v>62</v>
      </c>
    </row>
    <row r="430" spans="1:9" x14ac:dyDescent="0.35">
      <c r="A430" t="s">
        <v>5</v>
      </c>
      <c r="B430" s="30">
        <v>44466</v>
      </c>
      <c r="C430" s="48">
        <v>5</v>
      </c>
      <c r="D430" s="48"/>
      <c r="E430" s="51">
        <f t="shared" si="6"/>
        <v>-5</v>
      </c>
      <c r="F430" s="33" t="s">
        <v>63</v>
      </c>
      <c r="G430" s="33" t="str">
        <f>_xlfn.XLOOKUP(Transactions[[#This Row],[Sub-category]], [1]!TblDV[Sub-category],[1]!TblDV[Category],"")</f>
        <v>Dining Out</v>
      </c>
      <c r="H430" s="33" t="str">
        <f>_xlfn.XLOOKUP(Transactions[[#This Row],[Sub-category]], [1]!TblDV[Sub-category],[1]!TblDV[Category Type],"")</f>
        <v>Expense</v>
      </c>
      <c r="I430" s="34" t="s">
        <v>62</v>
      </c>
    </row>
    <row r="431" spans="1:9" x14ac:dyDescent="0.35">
      <c r="A431" t="s">
        <v>5</v>
      </c>
      <c r="B431" s="30">
        <v>44467</v>
      </c>
      <c r="C431" s="48">
        <v>5</v>
      </c>
      <c r="D431" s="48"/>
      <c r="E431" s="51">
        <f t="shared" si="6"/>
        <v>-5</v>
      </c>
      <c r="F431" s="33" t="s">
        <v>63</v>
      </c>
      <c r="G431" s="33" t="str">
        <f>_xlfn.XLOOKUP(Transactions[[#This Row],[Sub-category]], [1]!TblDV[Sub-category],[1]!TblDV[Category],"")</f>
        <v>Dining Out</v>
      </c>
      <c r="H431" s="33" t="str">
        <f>_xlfn.XLOOKUP(Transactions[[#This Row],[Sub-category]], [1]!TblDV[Sub-category],[1]!TblDV[Category Type],"")</f>
        <v>Expense</v>
      </c>
      <c r="I431" s="34" t="s">
        <v>62</v>
      </c>
    </row>
    <row r="432" spans="1:9" x14ac:dyDescent="0.35">
      <c r="A432" t="s">
        <v>5</v>
      </c>
      <c r="B432" s="30">
        <v>44467</v>
      </c>
      <c r="C432" s="48">
        <v>223</v>
      </c>
      <c r="D432" s="48"/>
      <c r="E432" s="51">
        <f t="shared" si="6"/>
        <v>-223</v>
      </c>
      <c r="F432" s="33" t="s">
        <v>14</v>
      </c>
      <c r="G432" s="33" t="str">
        <f>_xlfn.XLOOKUP(Transactions[[#This Row],[Sub-category]], [1]!TblDV[Sub-category],[1]!TblDV[Category],"")</f>
        <v>Living Expenses</v>
      </c>
      <c r="H432" s="33" t="str">
        <f>_xlfn.XLOOKUP(Transactions[[#This Row],[Sub-category]], [1]!TblDV[Sub-category],[1]!TblDV[Category Type],"")</f>
        <v>Expense</v>
      </c>
      <c r="I432" s="34" t="s">
        <v>66</v>
      </c>
    </row>
    <row r="433" spans="1:9" x14ac:dyDescent="0.35">
      <c r="A433" t="s">
        <v>5</v>
      </c>
      <c r="B433" s="30">
        <v>44468</v>
      </c>
      <c r="C433" s="48">
        <v>132.9</v>
      </c>
      <c r="D433" s="48"/>
      <c r="E433" s="51">
        <f t="shared" si="6"/>
        <v>-132.9</v>
      </c>
      <c r="F433" s="33" t="s">
        <v>16</v>
      </c>
      <c r="G433" s="33" t="str">
        <f>_xlfn.XLOOKUP(Transactions[[#This Row],[Sub-category]], [1]!TblDV[Sub-category],[1]!TblDV[Category],"")</f>
        <v>Discretionary</v>
      </c>
      <c r="H433" s="33" t="str">
        <f>_xlfn.XLOOKUP(Transactions[[#This Row],[Sub-category]], [1]!TblDV[Sub-category],[1]!TblDV[Category Type],"")</f>
        <v>Expense</v>
      </c>
      <c r="I433" s="34" t="s">
        <v>82</v>
      </c>
    </row>
    <row r="434" spans="1:9" x14ac:dyDescent="0.35">
      <c r="A434" t="s">
        <v>5</v>
      </c>
      <c r="B434" s="30">
        <v>44468</v>
      </c>
      <c r="C434" s="48">
        <v>175</v>
      </c>
      <c r="D434" s="48"/>
      <c r="E434" s="51">
        <f t="shared" si="6"/>
        <v>-175</v>
      </c>
      <c r="F434" s="33" t="s">
        <v>16</v>
      </c>
      <c r="G434" s="33" t="str">
        <f>_xlfn.XLOOKUP(Transactions[[#This Row],[Sub-category]], [1]!TblDV[Sub-category],[1]!TblDV[Category],"")</f>
        <v>Discretionary</v>
      </c>
      <c r="H434" s="33" t="str">
        <f>_xlfn.XLOOKUP(Transactions[[#This Row],[Sub-category]], [1]!TblDV[Sub-category],[1]!TblDV[Category Type],"")</f>
        <v>Expense</v>
      </c>
      <c r="I434" s="34" t="s">
        <v>84</v>
      </c>
    </row>
    <row r="435" spans="1:9" x14ac:dyDescent="0.35">
      <c r="A435" t="s">
        <v>5</v>
      </c>
      <c r="B435" s="30">
        <v>44469</v>
      </c>
      <c r="C435" s="48">
        <v>153.39999999999998</v>
      </c>
      <c r="D435" s="48"/>
      <c r="E435" s="51">
        <f t="shared" si="6"/>
        <v>-153.39999999999998</v>
      </c>
      <c r="F435" s="33" t="s">
        <v>16</v>
      </c>
      <c r="G435" s="33" t="str">
        <f>_xlfn.XLOOKUP(Transactions[[#This Row],[Sub-category]], [1]!TblDV[Sub-category],[1]!TblDV[Category],"")</f>
        <v>Discretionary</v>
      </c>
      <c r="H435" s="33" t="str">
        <f>_xlfn.XLOOKUP(Transactions[[#This Row],[Sub-category]], [1]!TblDV[Sub-category],[1]!TblDV[Category Type],"")</f>
        <v>Expense</v>
      </c>
      <c r="I435" s="34" t="s">
        <v>70</v>
      </c>
    </row>
    <row r="436" spans="1:9" x14ac:dyDescent="0.35">
      <c r="A436" t="s">
        <v>5</v>
      </c>
      <c r="B436" s="30">
        <v>44469</v>
      </c>
      <c r="C436" s="48">
        <v>31.200000000000003</v>
      </c>
      <c r="D436" s="48"/>
      <c r="E436" s="51">
        <f t="shared" si="6"/>
        <v>-31.200000000000003</v>
      </c>
      <c r="F436" s="33" t="s">
        <v>27</v>
      </c>
      <c r="G436" s="33" t="str">
        <f>_xlfn.XLOOKUP(Transactions[[#This Row],[Sub-category]], [1]!TblDV[Sub-category],[1]!TblDV[Category],"")</f>
        <v>Transport</v>
      </c>
      <c r="H436" s="33" t="str">
        <f>_xlfn.XLOOKUP(Transactions[[#This Row],[Sub-category]], [1]!TblDV[Sub-category],[1]!TblDV[Category Type],"")</f>
        <v>Expense</v>
      </c>
      <c r="I436" s="34" t="s">
        <v>73</v>
      </c>
    </row>
    <row r="437" spans="1:9" x14ac:dyDescent="0.35">
      <c r="A437" t="s">
        <v>5</v>
      </c>
      <c r="B437" s="30">
        <v>44469</v>
      </c>
      <c r="C437" s="48">
        <v>15</v>
      </c>
      <c r="D437" s="48"/>
      <c r="E437" s="51">
        <f t="shared" si="6"/>
        <v>-15</v>
      </c>
      <c r="F437" s="33" t="s">
        <v>72</v>
      </c>
      <c r="G437" s="33" t="str">
        <f>_xlfn.XLOOKUP(Transactions[[#This Row],[Sub-category]], [1]!TblDV[Sub-category],[1]!TblDV[Category],"")</f>
        <v>Dining Out</v>
      </c>
      <c r="H437" s="33" t="str">
        <f>_xlfn.XLOOKUP(Transactions[[#This Row],[Sub-category]], [1]!TblDV[Sub-category],[1]!TblDV[Category Type],"")</f>
        <v>Expense</v>
      </c>
      <c r="I437" s="34" t="s">
        <v>87</v>
      </c>
    </row>
    <row r="438" spans="1:9" x14ac:dyDescent="0.35">
      <c r="A438" t="s">
        <v>5</v>
      </c>
      <c r="B438" s="30">
        <v>44470</v>
      </c>
      <c r="C438" s="48">
        <v>5</v>
      </c>
      <c r="D438" s="48"/>
      <c r="E438" s="51">
        <f t="shared" si="6"/>
        <v>-5</v>
      </c>
      <c r="F438" s="33" t="s">
        <v>63</v>
      </c>
      <c r="G438" s="33" t="str">
        <f>_xlfn.XLOOKUP(Transactions[[#This Row],[Sub-category]], [1]!TblDV[Sub-category],[1]!TblDV[Category],"")</f>
        <v>Dining Out</v>
      </c>
      <c r="H438" s="33" t="str">
        <f>_xlfn.XLOOKUP(Transactions[[#This Row],[Sub-category]], [1]!TblDV[Sub-category],[1]!TblDV[Category Type],"")</f>
        <v>Expense</v>
      </c>
      <c r="I438" s="34" t="s">
        <v>62</v>
      </c>
    </row>
    <row r="439" spans="1:9" x14ac:dyDescent="0.35">
      <c r="A439" t="s">
        <v>5</v>
      </c>
      <c r="B439" s="30">
        <v>44472</v>
      </c>
      <c r="C439" s="48">
        <v>5</v>
      </c>
      <c r="D439" s="48"/>
      <c r="E439" s="51">
        <f t="shared" si="6"/>
        <v>-5</v>
      </c>
      <c r="F439" s="33" t="s">
        <v>63</v>
      </c>
      <c r="G439" s="33" t="str">
        <f>_xlfn.XLOOKUP(Transactions[[#This Row],[Sub-category]], [1]!TblDV[Sub-category],[1]!TblDV[Category],"")</f>
        <v>Dining Out</v>
      </c>
      <c r="H439" s="33" t="str">
        <f>_xlfn.XLOOKUP(Transactions[[#This Row],[Sub-category]], [1]!TblDV[Sub-category],[1]!TblDV[Category Type],"")</f>
        <v>Expense</v>
      </c>
      <c r="I439" s="34" t="s">
        <v>62</v>
      </c>
    </row>
    <row r="440" spans="1:9" x14ac:dyDescent="0.35">
      <c r="A440" t="s">
        <v>9</v>
      </c>
      <c r="B440" s="30">
        <v>44472</v>
      </c>
      <c r="C440" s="48"/>
      <c r="D440" s="48">
        <v>4000</v>
      </c>
      <c r="E440" s="51">
        <f t="shared" si="6"/>
        <v>4000</v>
      </c>
      <c r="F440" s="33" t="s">
        <v>7</v>
      </c>
      <c r="G440" s="33" t="str">
        <f>_xlfn.XLOOKUP(Transactions[[#This Row],[Sub-category]], [1]!TblDV[Sub-category],[1]!TblDV[Category],"")</f>
        <v>Salary</v>
      </c>
      <c r="H440" s="33" t="str">
        <f>_xlfn.XLOOKUP(Transactions[[#This Row],[Sub-category]], [1]!TblDV[Sub-category],[1]!TblDV[Category Type],"")</f>
        <v>Income</v>
      </c>
      <c r="I440" s="34" t="s">
        <v>61</v>
      </c>
    </row>
    <row r="441" spans="1:9" x14ac:dyDescent="0.35">
      <c r="A441" t="s">
        <v>5</v>
      </c>
      <c r="B441" s="30">
        <v>44473</v>
      </c>
      <c r="C441" s="48">
        <v>5</v>
      </c>
      <c r="D441" s="48"/>
      <c r="E441" s="51">
        <f t="shared" si="6"/>
        <v>-5</v>
      </c>
      <c r="F441" s="33" t="s">
        <v>63</v>
      </c>
      <c r="G441" s="33" t="str">
        <f>_xlfn.XLOOKUP(Transactions[[#This Row],[Sub-category]], [1]!TblDV[Sub-category],[1]!TblDV[Category],"")</f>
        <v>Dining Out</v>
      </c>
      <c r="H441" s="33" t="str">
        <f>_xlfn.XLOOKUP(Transactions[[#This Row],[Sub-category]], [1]!TblDV[Sub-category],[1]!TblDV[Category Type],"")</f>
        <v>Expense</v>
      </c>
      <c r="I441" s="34" t="s">
        <v>62</v>
      </c>
    </row>
    <row r="442" spans="1:9" x14ac:dyDescent="0.35">
      <c r="A442" t="s">
        <v>9</v>
      </c>
      <c r="B442" s="30">
        <v>44475</v>
      </c>
      <c r="C442" s="48">
        <v>900</v>
      </c>
      <c r="D442" s="48"/>
      <c r="E442" s="51">
        <f t="shared" si="6"/>
        <v>-900</v>
      </c>
      <c r="F442" s="33" t="s">
        <v>10</v>
      </c>
      <c r="G442" s="33" t="str">
        <f>_xlfn.XLOOKUP(Transactions[[#This Row],[Sub-category]], [1]!TblDV[Sub-category],[1]!TblDV[Category],"")</f>
        <v>Living Expenses</v>
      </c>
      <c r="H442" s="33" t="str">
        <f>_xlfn.XLOOKUP(Transactions[[#This Row],[Sub-category]], [1]!TblDV[Sub-category],[1]!TblDV[Category Type],"")</f>
        <v>Expense</v>
      </c>
      <c r="I442" s="34" t="s">
        <v>64</v>
      </c>
    </row>
    <row r="443" spans="1:9" x14ac:dyDescent="0.35">
      <c r="A443" t="s">
        <v>9</v>
      </c>
      <c r="B443" s="30">
        <v>44475</v>
      </c>
      <c r="C443" s="48">
        <v>150</v>
      </c>
      <c r="D443" s="48"/>
      <c r="E443" s="51">
        <f t="shared" si="6"/>
        <v>-150</v>
      </c>
      <c r="F443" s="33" t="s">
        <v>29</v>
      </c>
      <c r="G443" s="33" t="str">
        <f>_xlfn.XLOOKUP(Transactions[[#This Row],[Sub-category]], [1]!TblDV[Sub-category],[1]!TblDV[Category],"")</f>
        <v>Transport</v>
      </c>
      <c r="H443" s="33" t="str">
        <f>_xlfn.XLOOKUP(Transactions[[#This Row],[Sub-category]], [1]!TblDV[Sub-category],[1]!TblDV[Category Type],"")</f>
        <v>Expense</v>
      </c>
      <c r="I443" s="34" t="s">
        <v>65</v>
      </c>
    </row>
    <row r="444" spans="1:9" x14ac:dyDescent="0.35">
      <c r="A444" t="s">
        <v>5</v>
      </c>
      <c r="B444" s="30">
        <v>44475</v>
      </c>
      <c r="C444" s="48">
        <v>5</v>
      </c>
      <c r="D444" s="48"/>
      <c r="E444" s="51">
        <f t="shared" si="6"/>
        <v>-5</v>
      </c>
      <c r="F444" s="33" t="s">
        <v>63</v>
      </c>
      <c r="G444" s="33" t="str">
        <f>_xlfn.XLOOKUP(Transactions[[#This Row],[Sub-category]], [1]!TblDV[Sub-category],[1]!TblDV[Category],"")</f>
        <v>Dining Out</v>
      </c>
      <c r="H444" s="33" t="str">
        <f>_xlfn.XLOOKUP(Transactions[[#This Row],[Sub-category]], [1]!TblDV[Sub-category],[1]!TblDV[Category Type],"")</f>
        <v>Expense</v>
      </c>
      <c r="I444" s="34" t="s">
        <v>62</v>
      </c>
    </row>
    <row r="445" spans="1:9" x14ac:dyDescent="0.35">
      <c r="A445" t="s">
        <v>5</v>
      </c>
      <c r="B445" s="30">
        <v>44475</v>
      </c>
      <c r="C445" s="48">
        <v>5</v>
      </c>
      <c r="D445" s="48"/>
      <c r="E445" s="51">
        <f t="shared" si="6"/>
        <v>-5</v>
      </c>
      <c r="F445" s="33" t="s">
        <v>63</v>
      </c>
      <c r="G445" s="33" t="str">
        <f>_xlfn.XLOOKUP(Transactions[[#This Row],[Sub-category]], [1]!TblDV[Sub-category],[1]!TblDV[Category],"")</f>
        <v>Dining Out</v>
      </c>
      <c r="H445" s="33" t="str">
        <f>_xlfn.XLOOKUP(Transactions[[#This Row],[Sub-category]], [1]!TblDV[Sub-category],[1]!TblDV[Category Type],"")</f>
        <v>Expense</v>
      </c>
      <c r="I445" s="34" t="s">
        <v>62</v>
      </c>
    </row>
    <row r="446" spans="1:9" x14ac:dyDescent="0.35">
      <c r="A446" t="s">
        <v>5</v>
      </c>
      <c r="B446" s="30">
        <v>44476</v>
      </c>
      <c r="C446" s="48">
        <v>5</v>
      </c>
      <c r="D446" s="48"/>
      <c r="E446" s="51">
        <f t="shared" si="6"/>
        <v>-5</v>
      </c>
      <c r="F446" s="33" t="s">
        <v>63</v>
      </c>
      <c r="G446" s="33" t="str">
        <f>_xlfn.XLOOKUP(Transactions[[#This Row],[Sub-category]], [1]!TblDV[Sub-category],[1]!TblDV[Category],"")</f>
        <v>Dining Out</v>
      </c>
      <c r="H446" s="33" t="str">
        <f>_xlfn.XLOOKUP(Transactions[[#This Row],[Sub-category]], [1]!TblDV[Sub-category],[1]!TblDV[Category Type],"")</f>
        <v>Expense</v>
      </c>
      <c r="I446" s="34" t="s">
        <v>62</v>
      </c>
    </row>
    <row r="447" spans="1:9" x14ac:dyDescent="0.35">
      <c r="A447" t="s">
        <v>5</v>
      </c>
      <c r="B447" s="30">
        <v>44477</v>
      </c>
      <c r="C447" s="48">
        <v>5</v>
      </c>
      <c r="D447" s="48"/>
      <c r="E447" s="51">
        <f t="shared" si="6"/>
        <v>-5</v>
      </c>
      <c r="F447" s="33" t="s">
        <v>63</v>
      </c>
      <c r="G447" s="33" t="str">
        <f>_xlfn.XLOOKUP(Transactions[[#This Row],[Sub-category]], [1]!TblDV[Sub-category],[1]!TblDV[Category],"")</f>
        <v>Dining Out</v>
      </c>
      <c r="H447" s="33" t="str">
        <f>_xlfn.XLOOKUP(Transactions[[#This Row],[Sub-category]], [1]!TblDV[Sub-category],[1]!TblDV[Category Type],"")</f>
        <v>Expense</v>
      </c>
      <c r="I447" s="34" t="s">
        <v>62</v>
      </c>
    </row>
    <row r="448" spans="1:9" x14ac:dyDescent="0.35">
      <c r="A448" t="s">
        <v>5</v>
      </c>
      <c r="B448" s="30">
        <v>44477</v>
      </c>
      <c r="C448" s="48">
        <v>105</v>
      </c>
      <c r="D448" s="48"/>
      <c r="E448" s="51">
        <f t="shared" si="6"/>
        <v>-105</v>
      </c>
      <c r="F448" s="33" t="s">
        <v>14</v>
      </c>
      <c r="G448" s="33" t="str">
        <f>_xlfn.XLOOKUP(Transactions[[#This Row],[Sub-category]], [1]!TblDV[Sub-category],[1]!TblDV[Category],"")</f>
        <v>Living Expenses</v>
      </c>
      <c r="H448" s="33" t="str">
        <f>_xlfn.XLOOKUP(Transactions[[#This Row],[Sub-category]], [1]!TblDV[Sub-category],[1]!TblDV[Category Type],"")</f>
        <v>Expense</v>
      </c>
      <c r="I448" s="34" t="s">
        <v>66</v>
      </c>
    </row>
    <row r="449" spans="1:9" x14ac:dyDescent="0.35">
      <c r="A449" t="s">
        <v>9</v>
      </c>
      <c r="B449" s="30">
        <v>44480</v>
      </c>
      <c r="C449" s="48">
        <v>59</v>
      </c>
      <c r="D449" s="48"/>
      <c r="E449" s="51">
        <f t="shared" si="6"/>
        <v>-59</v>
      </c>
      <c r="F449" s="33" t="s">
        <v>12</v>
      </c>
      <c r="G449" s="33" t="str">
        <f>_xlfn.XLOOKUP(Transactions[[#This Row],[Sub-category]], [1]!TblDV[Sub-category],[1]!TblDV[Category],"")</f>
        <v>Living Expenses</v>
      </c>
      <c r="H449" s="33" t="str">
        <f>_xlfn.XLOOKUP(Transactions[[#This Row],[Sub-category]], [1]!TblDV[Sub-category],[1]!TblDV[Category Type],"")</f>
        <v>Expense</v>
      </c>
      <c r="I449" s="34" t="s">
        <v>67</v>
      </c>
    </row>
    <row r="450" spans="1:9" x14ac:dyDescent="0.35">
      <c r="A450" t="s">
        <v>5</v>
      </c>
      <c r="B450" s="30">
        <v>44480</v>
      </c>
      <c r="C450" s="48">
        <v>5</v>
      </c>
      <c r="D450" s="48"/>
      <c r="E450" s="51">
        <f t="shared" ref="E450:E487" si="7">D450-C450</f>
        <v>-5</v>
      </c>
      <c r="F450" s="33" t="s">
        <v>63</v>
      </c>
      <c r="G450" s="33" t="str">
        <f>_xlfn.XLOOKUP(Transactions[[#This Row],[Sub-category]], [1]!TblDV[Sub-category],[1]!TblDV[Category],"")</f>
        <v>Dining Out</v>
      </c>
      <c r="H450" s="33" t="str">
        <f>_xlfn.XLOOKUP(Transactions[[#This Row],[Sub-category]], [1]!TblDV[Sub-category],[1]!TblDV[Category Type],"")</f>
        <v>Expense</v>
      </c>
      <c r="I450" s="34" t="s">
        <v>62</v>
      </c>
    </row>
    <row r="451" spans="1:9" x14ac:dyDescent="0.35">
      <c r="A451" t="s">
        <v>5</v>
      </c>
      <c r="B451" s="30">
        <v>44481</v>
      </c>
      <c r="C451" s="48">
        <v>5</v>
      </c>
      <c r="D451" s="48"/>
      <c r="E451" s="51">
        <f t="shared" si="7"/>
        <v>-5</v>
      </c>
      <c r="F451" s="33" t="s">
        <v>63</v>
      </c>
      <c r="G451" s="33" t="str">
        <f>_xlfn.XLOOKUP(Transactions[[#This Row],[Sub-category]], [1]!TblDV[Sub-category],[1]!TblDV[Category],"")</f>
        <v>Dining Out</v>
      </c>
      <c r="H451" s="33" t="str">
        <f>_xlfn.XLOOKUP(Transactions[[#This Row],[Sub-category]], [1]!TblDV[Sub-category],[1]!TblDV[Category Type],"")</f>
        <v>Expense</v>
      </c>
      <c r="I451" s="34" t="s">
        <v>62</v>
      </c>
    </row>
    <row r="452" spans="1:9" x14ac:dyDescent="0.35">
      <c r="A452" t="s">
        <v>5</v>
      </c>
      <c r="B452" s="30">
        <v>44482</v>
      </c>
      <c r="C452" s="48">
        <v>86.399999999999977</v>
      </c>
      <c r="D452" s="48"/>
      <c r="E452" s="51">
        <f t="shared" si="7"/>
        <v>-86.399999999999977</v>
      </c>
      <c r="F452" s="33" t="s">
        <v>13</v>
      </c>
      <c r="G452" s="33" t="str">
        <f>_xlfn.XLOOKUP(Transactions[[#This Row],[Sub-category]], [1]!TblDV[Sub-category],[1]!TblDV[Category],"")</f>
        <v>Transport</v>
      </c>
      <c r="H452" s="33" t="str">
        <f>_xlfn.XLOOKUP(Transactions[[#This Row],[Sub-category]], [1]!TblDV[Sub-category],[1]!TblDV[Category Type],"")</f>
        <v>Expense</v>
      </c>
      <c r="I452" s="34" t="s">
        <v>68</v>
      </c>
    </row>
    <row r="453" spans="1:9" x14ac:dyDescent="0.35">
      <c r="A453" t="s">
        <v>5</v>
      </c>
      <c r="B453" s="30">
        <v>44482</v>
      </c>
      <c r="C453" s="48">
        <v>5</v>
      </c>
      <c r="D453" s="48"/>
      <c r="E453" s="51">
        <f t="shared" si="7"/>
        <v>-5</v>
      </c>
      <c r="F453" s="33" t="s">
        <v>63</v>
      </c>
      <c r="G453" s="33" t="str">
        <f>_xlfn.XLOOKUP(Transactions[[#This Row],[Sub-category]], [1]!TblDV[Sub-category],[1]!TblDV[Category],"")</f>
        <v>Dining Out</v>
      </c>
      <c r="H453" s="33" t="str">
        <f>_xlfn.XLOOKUP(Transactions[[#This Row],[Sub-category]], [1]!TblDV[Sub-category],[1]!TblDV[Category Type],"")</f>
        <v>Expense</v>
      </c>
      <c r="I453" s="34" t="s">
        <v>62</v>
      </c>
    </row>
    <row r="454" spans="1:9" x14ac:dyDescent="0.35">
      <c r="A454" t="s">
        <v>5</v>
      </c>
      <c r="B454" s="30">
        <v>44483</v>
      </c>
      <c r="C454" s="48">
        <v>5</v>
      </c>
      <c r="D454" s="48"/>
      <c r="E454" s="51">
        <f t="shared" si="7"/>
        <v>-5</v>
      </c>
      <c r="F454" s="33" t="s">
        <v>63</v>
      </c>
      <c r="G454" s="33" t="str">
        <f>_xlfn.XLOOKUP(Transactions[[#This Row],[Sub-category]], [1]!TblDV[Sub-category],[1]!TblDV[Category],"")</f>
        <v>Dining Out</v>
      </c>
      <c r="H454" s="33" t="str">
        <f>_xlfn.XLOOKUP(Transactions[[#This Row],[Sub-category]], [1]!TblDV[Sub-category],[1]!TblDV[Category Type],"")</f>
        <v>Expense</v>
      </c>
      <c r="I454" s="34" t="s">
        <v>62</v>
      </c>
    </row>
    <row r="455" spans="1:9" x14ac:dyDescent="0.35">
      <c r="A455" t="s">
        <v>5</v>
      </c>
      <c r="B455" s="30">
        <v>44484</v>
      </c>
      <c r="C455" s="48">
        <v>143.9</v>
      </c>
      <c r="D455" s="48"/>
      <c r="E455" s="51">
        <f t="shared" si="7"/>
        <v>-143.9</v>
      </c>
      <c r="F455" s="33" t="s">
        <v>14</v>
      </c>
      <c r="G455" s="33" t="str">
        <f>_xlfn.XLOOKUP(Transactions[[#This Row],[Sub-category]], [1]!TblDV[Sub-category],[1]!TblDV[Category],"")</f>
        <v>Living Expenses</v>
      </c>
      <c r="H455" s="33" t="str">
        <f>_xlfn.XLOOKUP(Transactions[[#This Row],[Sub-category]], [1]!TblDV[Sub-category],[1]!TblDV[Category Type],"")</f>
        <v>Expense</v>
      </c>
      <c r="I455" s="34" t="s">
        <v>66</v>
      </c>
    </row>
    <row r="456" spans="1:9" x14ac:dyDescent="0.35">
      <c r="A456" t="s">
        <v>5</v>
      </c>
      <c r="B456" s="30">
        <v>44484</v>
      </c>
      <c r="C456" s="48">
        <v>5</v>
      </c>
      <c r="D456" s="48"/>
      <c r="E456" s="51">
        <f t="shared" si="7"/>
        <v>-5</v>
      </c>
      <c r="F456" s="33" t="s">
        <v>63</v>
      </c>
      <c r="G456" s="33" t="str">
        <f>_xlfn.XLOOKUP(Transactions[[#This Row],[Sub-category]], [1]!TblDV[Sub-category],[1]!TblDV[Category],"")</f>
        <v>Dining Out</v>
      </c>
      <c r="H456" s="33" t="str">
        <f>_xlfn.XLOOKUP(Transactions[[#This Row],[Sub-category]], [1]!TblDV[Sub-category],[1]!TblDV[Category Type],"")</f>
        <v>Expense</v>
      </c>
      <c r="I456" s="34" t="s">
        <v>62</v>
      </c>
    </row>
    <row r="457" spans="1:9" x14ac:dyDescent="0.35">
      <c r="A457" t="s">
        <v>5</v>
      </c>
      <c r="B457" s="30">
        <v>44485</v>
      </c>
      <c r="C457" s="48">
        <v>5</v>
      </c>
      <c r="D457" s="48"/>
      <c r="E457" s="51">
        <f t="shared" si="7"/>
        <v>-5</v>
      </c>
      <c r="F457" s="33" t="s">
        <v>63</v>
      </c>
      <c r="G457" s="33" t="str">
        <f>_xlfn.XLOOKUP(Transactions[[#This Row],[Sub-category]], [1]!TblDV[Sub-category],[1]!TblDV[Category],"")</f>
        <v>Dining Out</v>
      </c>
      <c r="H457" s="33" t="str">
        <f>_xlfn.XLOOKUP(Transactions[[#This Row],[Sub-category]], [1]!TblDV[Sub-category],[1]!TblDV[Category Type],"")</f>
        <v>Expense</v>
      </c>
      <c r="I457" s="34" t="s">
        <v>62</v>
      </c>
    </row>
    <row r="458" spans="1:9" x14ac:dyDescent="0.35">
      <c r="A458" t="s">
        <v>5</v>
      </c>
      <c r="B458" s="30">
        <v>44485</v>
      </c>
      <c r="C458" s="48">
        <v>48.8</v>
      </c>
      <c r="D458" s="48"/>
      <c r="E458" s="51">
        <f t="shared" si="7"/>
        <v>-48.8</v>
      </c>
      <c r="F458" s="33" t="s">
        <v>15</v>
      </c>
      <c r="G458" s="33" t="str">
        <f>_xlfn.XLOOKUP(Transactions[[#This Row],[Sub-category]], [1]!TblDV[Sub-category],[1]!TblDV[Category],"")</f>
        <v>Discretionary</v>
      </c>
      <c r="H458" s="33" t="str">
        <f>_xlfn.XLOOKUP(Transactions[[#This Row],[Sub-category]], [1]!TblDV[Sub-category],[1]!TblDV[Category Type],"")</f>
        <v>Expense</v>
      </c>
      <c r="I458" s="34" t="s">
        <v>69</v>
      </c>
    </row>
    <row r="459" spans="1:9" x14ac:dyDescent="0.35">
      <c r="A459" t="s">
        <v>5</v>
      </c>
      <c r="B459" s="30">
        <v>44485</v>
      </c>
      <c r="C459" s="48">
        <v>106.70000000000002</v>
      </c>
      <c r="D459" s="48"/>
      <c r="E459" s="51">
        <f t="shared" si="7"/>
        <v>-106.70000000000002</v>
      </c>
      <c r="F459" s="33" t="s">
        <v>16</v>
      </c>
      <c r="G459" s="33" t="str">
        <f>_xlfn.XLOOKUP(Transactions[[#This Row],[Sub-category]], [1]!TblDV[Sub-category],[1]!TblDV[Category],"")</f>
        <v>Discretionary</v>
      </c>
      <c r="H459" s="33" t="str">
        <f>_xlfn.XLOOKUP(Transactions[[#This Row],[Sub-category]], [1]!TblDV[Sub-category],[1]!TblDV[Category Type],"")</f>
        <v>Expense</v>
      </c>
      <c r="I459" s="34" t="s">
        <v>70</v>
      </c>
    </row>
    <row r="460" spans="1:9" x14ac:dyDescent="0.35">
      <c r="A460" t="s">
        <v>5</v>
      </c>
      <c r="B460" s="30">
        <v>44485</v>
      </c>
      <c r="C460" s="48">
        <v>61.1</v>
      </c>
      <c r="D460" s="48"/>
      <c r="E460" s="51">
        <f t="shared" si="7"/>
        <v>-61.1</v>
      </c>
      <c r="F460" s="33" t="s">
        <v>72</v>
      </c>
      <c r="G460" s="33" t="str">
        <f>_xlfn.XLOOKUP(Transactions[[#This Row],[Sub-category]], [1]!TblDV[Sub-category],[1]!TblDV[Category],"")</f>
        <v>Dining Out</v>
      </c>
      <c r="H460" s="33" t="str">
        <f>_xlfn.XLOOKUP(Transactions[[#This Row],[Sub-category]], [1]!TblDV[Sub-category],[1]!TblDV[Category Type],"")</f>
        <v>Expense</v>
      </c>
      <c r="I460" s="34" t="s">
        <v>71</v>
      </c>
    </row>
    <row r="461" spans="1:9" x14ac:dyDescent="0.35">
      <c r="A461" t="s">
        <v>5</v>
      </c>
      <c r="B461" s="30">
        <v>44486</v>
      </c>
      <c r="C461" s="48">
        <v>37.200000000000003</v>
      </c>
      <c r="D461" s="48"/>
      <c r="E461" s="51">
        <f t="shared" si="7"/>
        <v>-37.200000000000003</v>
      </c>
      <c r="F461" s="33" t="s">
        <v>27</v>
      </c>
      <c r="G461" s="33" t="str">
        <f>_xlfn.XLOOKUP(Transactions[[#This Row],[Sub-category]], [1]!TblDV[Sub-category],[1]!TblDV[Category],"")</f>
        <v>Transport</v>
      </c>
      <c r="H461" s="33" t="str">
        <f>_xlfn.XLOOKUP(Transactions[[#This Row],[Sub-category]], [1]!TblDV[Sub-category],[1]!TblDV[Category Type],"")</f>
        <v>Expense</v>
      </c>
      <c r="I461" s="34" t="s">
        <v>73</v>
      </c>
    </row>
    <row r="462" spans="1:9" x14ac:dyDescent="0.35">
      <c r="A462" t="s">
        <v>9</v>
      </c>
      <c r="B462" s="30">
        <v>44487</v>
      </c>
      <c r="C462" s="48">
        <v>30</v>
      </c>
      <c r="D462" s="48"/>
      <c r="E462" s="51">
        <f t="shared" si="7"/>
        <v>-30</v>
      </c>
      <c r="F462" s="33" t="s">
        <v>17</v>
      </c>
      <c r="G462" s="33" t="str">
        <f>_xlfn.XLOOKUP(Transactions[[#This Row],[Sub-category]], [1]!TblDV[Sub-category],[1]!TblDV[Category],"")</f>
        <v>Discretionary</v>
      </c>
      <c r="H462" s="33" t="str">
        <f>_xlfn.XLOOKUP(Transactions[[#This Row],[Sub-category]], [1]!TblDV[Sub-category],[1]!TblDV[Category Type],"")</f>
        <v>Expense</v>
      </c>
      <c r="I462" s="34" t="s">
        <v>74</v>
      </c>
    </row>
    <row r="463" spans="1:9" x14ac:dyDescent="0.35">
      <c r="A463" t="s">
        <v>5</v>
      </c>
      <c r="B463" s="30">
        <v>44487</v>
      </c>
      <c r="C463" s="48">
        <v>5</v>
      </c>
      <c r="D463" s="48"/>
      <c r="E463" s="51">
        <f t="shared" si="7"/>
        <v>-5</v>
      </c>
      <c r="F463" s="33" t="s">
        <v>63</v>
      </c>
      <c r="G463" s="33" t="str">
        <f>_xlfn.XLOOKUP(Transactions[[#This Row],[Sub-category]], [1]!TblDV[Sub-category],[1]!TblDV[Category],"")</f>
        <v>Dining Out</v>
      </c>
      <c r="H463" s="33" t="str">
        <f>_xlfn.XLOOKUP(Transactions[[#This Row],[Sub-category]], [1]!TblDV[Sub-category],[1]!TblDV[Category Type],"")</f>
        <v>Expense</v>
      </c>
      <c r="I463" s="34" t="s">
        <v>62</v>
      </c>
    </row>
    <row r="464" spans="1:9" x14ac:dyDescent="0.35">
      <c r="A464" t="s">
        <v>5</v>
      </c>
      <c r="B464" s="30">
        <v>44488</v>
      </c>
      <c r="C464" s="48">
        <v>5</v>
      </c>
      <c r="D464" s="48"/>
      <c r="E464" s="51">
        <f t="shared" si="7"/>
        <v>-5</v>
      </c>
      <c r="F464" s="33" t="s">
        <v>63</v>
      </c>
      <c r="G464" s="33" t="str">
        <f>_xlfn.XLOOKUP(Transactions[[#This Row],[Sub-category]], [1]!TblDV[Sub-category],[1]!TblDV[Category],"")</f>
        <v>Dining Out</v>
      </c>
      <c r="H464" s="33" t="str">
        <f>_xlfn.XLOOKUP(Transactions[[#This Row],[Sub-category]], [1]!TblDV[Sub-category],[1]!TblDV[Category Type],"")</f>
        <v>Expense</v>
      </c>
      <c r="I464" s="34" t="s">
        <v>62</v>
      </c>
    </row>
    <row r="465" spans="1:9" x14ac:dyDescent="0.35">
      <c r="A465" t="s">
        <v>9</v>
      </c>
      <c r="B465" s="30">
        <v>44488</v>
      </c>
      <c r="C465" s="48">
        <v>75</v>
      </c>
      <c r="D465" s="48"/>
      <c r="E465" s="51">
        <f t="shared" si="7"/>
        <v>-75</v>
      </c>
      <c r="F465" s="33" t="s">
        <v>31</v>
      </c>
      <c r="G465" s="33" t="str">
        <f>_xlfn.XLOOKUP(Transactions[[#This Row],[Sub-category]], [1]!TblDV[Sub-category],[1]!TblDV[Category],"")</f>
        <v>Medical</v>
      </c>
      <c r="H465" s="33" t="str">
        <f>_xlfn.XLOOKUP(Transactions[[#This Row],[Sub-category]], [1]!TblDV[Sub-category],[1]!TblDV[Category Type],"")</f>
        <v>Expense</v>
      </c>
      <c r="I465" s="34" t="s">
        <v>85</v>
      </c>
    </row>
    <row r="466" spans="1:9" x14ac:dyDescent="0.35">
      <c r="A466" t="s">
        <v>9</v>
      </c>
      <c r="B466" s="30">
        <v>44488</v>
      </c>
      <c r="C466" s="48">
        <v>40</v>
      </c>
      <c r="D466" s="48"/>
      <c r="E466" s="51">
        <f t="shared" si="7"/>
        <v>-40</v>
      </c>
      <c r="F466" s="33" t="s">
        <v>30</v>
      </c>
      <c r="G466" s="33" t="str">
        <f>_xlfn.XLOOKUP(Transactions[[#This Row],[Sub-category]], [1]!TblDV[Sub-category],[1]!TblDV[Category],"")</f>
        <v>Living Expenses</v>
      </c>
      <c r="H466" s="33" t="str">
        <f>_xlfn.XLOOKUP(Transactions[[#This Row],[Sub-category]], [1]!TblDV[Sub-category],[1]!TblDV[Category Type],"")</f>
        <v>Expense</v>
      </c>
      <c r="I466" s="34" t="s">
        <v>76</v>
      </c>
    </row>
    <row r="467" spans="1:9" x14ac:dyDescent="0.35">
      <c r="A467" t="s">
        <v>5</v>
      </c>
      <c r="B467" s="30">
        <v>44489</v>
      </c>
      <c r="C467" s="48">
        <v>54.1</v>
      </c>
      <c r="D467" s="48"/>
      <c r="E467" s="51">
        <f t="shared" si="7"/>
        <v>-54.1</v>
      </c>
      <c r="F467" s="33" t="s">
        <v>22</v>
      </c>
      <c r="G467" s="33" t="str">
        <f>_xlfn.XLOOKUP(Transactions[[#This Row],[Sub-category]], [1]!TblDV[Sub-category],[1]!TblDV[Category],"")</f>
        <v>Discretionary</v>
      </c>
      <c r="H467" s="33" t="str">
        <f>_xlfn.XLOOKUP(Transactions[[#This Row],[Sub-category]], [1]!TblDV[Sub-category],[1]!TblDV[Category Type],"")</f>
        <v>Expense</v>
      </c>
      <c r="I467" s="34" t="s">
        <v>77</v>
      </c>
    </row>
    <row r="468" spans="1:9" x14ac:dyDescent="0.35">
      <c r="A468" t="s">
        <v>5</v>
      </c>
      <c r="B468" s="30">
        <v>44489</v>
      </c>
      <c r="C468" s="48">
        <v>35</v>
      </c>
      <c r="D468" s="48"/>
      <c r="E468" s="51">
        <f t="shared" si="7"/>
        <v>-35</v>
      </c>
      <c r="F468" s="33" t="s">
        <v>15</v>
      </c>
      <c r="G468" s="33" t="str">
        <f>_xlfn.XLOOKUP(Transactions[[#This Row],[Sub-category]], [1]!TblDV[Sub-category],[1]!TblDV[Category],"")</f>
        <v>Discretionary</v>
      </c>
      <c r="H468" s="33" t="str">
        <f>_xlfn.XLOOKUP(Transactions[[#This Row],[Sub-category]], [1]!TblDV[Sub-category],[1]!TblDV[Category Type],"")</f>
        <v>Expense</v>
      </c>
      <c r="I468" s="34" t="s">
        <v>78</v>
      </c>
    </row>
    <row r="469" spans="1:9" x14ac:dyDescent="0.35">
      <c r="A469" t="s">
        <v>5</v>
      </c>
      <c r="B469" s="30">
        <v>44489</v>
      </c>
      <c r="C469" s="48">
        <v>5</v>
      </c>
      <c r="D469" s="48"/>
      <c r="E469" s="51">
        <f t="shared" si="7"/>
        <v>-5</v>
      </c>
      <c r="F469" s="33" t="s">
        <v>63</v>
      </c>
      <c r="G469" s="33" t="str">
        <f>_xlfn.XLOOKUP(Transactions[[#This Row],[Sub-category]], [1]!TblDV[Sub-category],[1]!TblDV[Category],"")</f>
        <v>Dining Out</v>
      </c>
      <c r="H469" s="33" t="str">
        <f>_xlfn.XLOOKUP(Transactions[[#This Row],[Sub-category]], [1]!TblDV[Sub-category],[1]!TblDV[Category Type],"")</f>
        <v>Expense</v>
      </c>
      <c r="I469" s="34" t="s">
        <v>62</v>
      </c>
    </row>
    <row r="470" spans="1:9" x14ac:dyDescent="0.35">
      <c r="A470" t="s">
        <v>5</v>
      </c>
      <c r="B470" s="30">
        <v>44490</v>
      </c>
      <c r="C470" s="48">
        <v>5</v>
      </c>
      <c r="D470" s="48"/>
      <c r="E470" s="51">
        <f t="shared" si="7"/>
        <v>-5</v>
      </c>
      <c r="F470" s="33" t="s">
        <v>63</v>
      </c>
      <c r="G470" s="33" t="str">
        <f>_xlfn.XLOOKUP(Transactions[[#This Row],[Sub-category]], [1]!TblDV[Sub-category],[1]!TblDV[Category],"")</f>
        <v>Dining Out</v>
      </c>
      <c r="H470" s="33" t="str">
        <f>_xlfn.XLOOKUP(Transactions[[#This Row],[Sub-category]], [1]!TblDV[Sub-category],[1]!TblDV[Category Type],"")</f>
        <v>Expense</v>
      </c>
      <c r="I470" s="34" t="s">
        <v>62</v>
      </c>
    </row>
    <row r="471" spans="1:9" x14ac:dyDescent="0.35">
      <c r="A471" t="s">
        <v>5</v>
      </c>
      <c r="B471" s="30">
        <v>44491</v>
      </c>
      <c r="C471" s="48">
        <v>5</v>
      </c>
      <c r="D471" s="48"/>
      <c r="E471" s="51">
        <f t="shared" si="7"/>
        <v>-5</v>
      </c>
      <c r="F471" s="33" t="s">
        <v>63</v>
      </c>
      <c r="G471" s="33" t="str">
        <f>_xlfn.XLOOKUP(Transactions[[#This Row],[Sub-category]], [1]!TblDV[Sub-category],[1]!TblDV[Category],"")</f>
        <v>Dining Out</v>
      </c>
      <c r="H471" s="33" t="str">
        <f>_xlfn.XLOOKUP(Transactions[[#This Row],[Sub-category]], [1]!TblDV[Sub-category],[1]!TblDV[Category Type],"")</f>
        <v>Expense</v>
      </c>
      <c r="I471" s="34" t="s">
        <v>62</v>
      </c>
    </row>
    <row r="472" spans="1:9" x14ac:dyDescent="0.35">
      <c r="A472" t="s">
        <v>5</v>
      </c>
      <c r="B472" s="30">
        <v>44491</v>
      </c>
      <c r="C472" s="48">
        <v>178.9</v>
      </c>
      <c r="D472" s="48"/>
      <c r="E472" s="51">
        <f t="shared" si="7"/>
        <v>-178.9</v>
      </c>
      <c r="F472" s="33" t="s">
        <v>14</v>
      </c>
      <c r="G472" s="33" t="str">
        <f>_xlfn.XLOOKUP(Transactions[[#This Row],[Sub-category]], [1]!TblDV[Sub-category],[1]!TblDV[Category],"")</f>
        <v>Living Expenses</v>
      </c>
      <c r="H472" s="33" t="str">
        <f>_xlfn.XLOOKUP(Transactions[[#This Row],[Sub-category]], [1]!TblDV[Sub-category],[1]!TblDV[Category Type],"")</f>
        <v>Expense</v>
      </c>
      <c r="I472" s="34" t="s">
        <v>66</v>
      </c>
    </row>
    <row r="473" spans="1:9" x14ac:dyDescent="0.35">
      <c r="A473" t="s">
        <v>5</v>
      </c>
      <c r="B473" s="30">
        <v>44492</v>
      </c>
      <c r="C473" s="48">
        <v>46.2</v>
      </c>
      <c r="D473" s="48"/>
      <c r="E473" s="51">
        <f t="shared" si="7"/>
        <v>-46.2</v>
      </c>
      <c r="F473" s="33" t="s">
        <v>72</v>
      </c>
      <c r="G473" s="33" t="str">
        <f>_xlfn.XLOOKUP(Transactions[[#This Row],[Sub-category]], [1]!TblDV[Sub-category],[1]!TblDV[Category],"")</f>
        <v>Dining Out</v>
      </c>
      <c r="H473" s="33" t="str">
        <f>_xlfn.XLOOKUP(Transactions[[#This Row],[Sub-category]], [1]!TblDV[Sub-category],[1]!TblDV[Category Type],"")</f>
        <v>Expense</v>
      </c>
      <c r="I473" s="34" t="s">
        <v>79</v>
      </c>
    </row>
    <row r="474" spans="1:9" x14ac:dyDescent="0.35">
      <c r="A474" t="s">
        <v>5</v>
      </c>
      <c r="B474" s="30">
        <v>44493</v>
      </c>
      <c r="C474" s="48">
        <v>21.099999999999998</v>
      </c>
      <c r="D474" s="48"/>
      <c r="E474" s="51">
        <f t="shared" si="7"/>
        <v>-21.099999999999998</v>
      </c>
      <c r="F474" s="33" t="s">
        <v>72</v>
      </c>
      <c r="G474" s="33" t="str">
        <f>_xlfn.XLOOKUP(Transactions[[#This Row],[Sub-category]], [1]!TblDV[Sub-category],[1]!TblDV[Category],"")</f>
        <v>Dining Out</v>
      </c>
      <c r="H474" s="33" t="str">
        <f>_xlfn.XLOOKUP(Transactions[[#This Row],[Sub-category]], [1]!TblDV[Sub-category],[1]!TblDV[Category Type],"")</f>
        <v>Expense</v>
      </c>
      <c r="I474" s="34" t="s">
        <v>80</v>
      </c>
    </row>
    <row r="475" spans="1:9" x14ac:dyDescent="0.35">
      <c r="A475" t="s">
        <v>9</v>
      </c>
      <c r="B475" s="30">
        <v>44494</v>
      </c>
      <c r="C475" s="48">
        <v>55</v>
      </c>
      <c r="D475" s="48"/>
      <c r="E475" s="51">
        <f t="shared" si="7"/>
        <v>-55</v>
      </c>
      <c r="F475" s="33" t="s">
        <v>23</v>
      </c>
      <c r="G475" s="33" t="str">
        <f>_xlfn.XLOOKUP(Transactions[[#This Row],[Sub-category]], [1]!TblDV[Sub-category],[1]!TblDV[Category],"")</f>
        <v>Charity</v>
      </c>
      <c r="H475" s="33" t="str">
        <f>_xlfn.XLOOKUP(Transactions[[#This Row],[Sub-category]], [1]!TblDV[Sub-category],[1]!TblDV[Category Type],"")</f>
        <v>Expense</v>
      </c>
      <c r="I475" s="34" t="s">
        <v>81</v>
      </c>
    </row>
    <row r="476" spans="1:9" x14ac:dyDescent="0.35">
      <c r="A476" t="s">
        <v>5</v>
      </c>
      <c r="B476" s="30">
        <v>44494</v>
      </c>
      <c r="C476" s="48">
        <v>71.500000000000028</v>
      </c>
      <c r="D476" s="48"/>
      <c r="E476" s="51">
        <f t="shared" si="7"/>
        <v>-71.500000000000028</v>
      </c>
      <c r="F476" s="33" t="s">
        <v>13</v>
      </c>
      <c r="G476" s="33" t="str">
        <f>_xlfn.XLOOKUP(Transactions[[#This Row],[Sub-category]], [1]!TblDV[Sub-category],[1]!TblDV[Category],"")</f>
        <v>Transport</v>
      </c>
      <c r="H476" s="33" t="str">
        <f>_xlfn.XLOOKUP(Transactions[[#This Row],[Sub-category]], [1]!TblDV[Sub-category],[1]!TblDV[Category Type],"")</f>
        <v>Expense</v>
      </c>
      <c r="I476" s="34" t="s">
        <v>68</v>
      </c>
    </row>
    <row r="477" spans="1:9" x14ac:dyDescent="0.35">
      <c r="A477" t="s">
        <v>5</v>
      </c>
      <c r="B477" s="30">
        <v>44494</v>
      </c>
      <c r="C477" s="48">
        <v>5</v>
      </c>
      <c r="D477" s="48"/>
      <c r="E477" s="51">
        <f t="shared" si="7"/>
        <v>-5</v>
      </c>
      <c r="F477" s="33" t="s">
        <v>63</v>
      </c>
      <c r="G477" s="33" t="str">
        <f>_xlfn.XLOOKUP(Transactions[[#This Row],[Sub-category]], [1]!TblDV[Sub-category],[1]!TblDV[Category],"")</f>
        <v>Dining Out</v>
      </c>
      <c r="H477" s="33" t="str">
        <f>_xlfn.XLOOKUP(Transactions[[#This Row],[Sub-category]], [1]!TblDV[Sub-category],[1]!TblDV[Category Type],"")</f>
        <v>Expense</v>
      </c>
      <c r="I477" s="34" t="s">
        <v>62</v>
      </c>
    </row>
    <row r="478" spans="1:9" x14ac:dyDescent="0.35">
      <c r="A478" t="s">
        <v>5</v>
      </c>
      <c r="B478" s="30">
        <v>44495</v>
      </c>
      <c r="C478" s="48">
        <v>5</v>
      </c>
      <c r="D478" s="48"/>
      <c r="E478" s="51">
        <f t="shared" si="7"/>
        <v>-5</v>
      </c>
      <c r="F478" s="33" t="s">
        <v>63</v>
      </c>
      <c r="G478" s="33" t="str">
        <f>_xlfn.XLOOKUP(Transactions[[#This Row],[Sub-category]], [1]!TblDV[Sub-category],[1]!TblDV[Category],"")</f>
        <v>Dining Out</v>
      </c>
      <c r="H478" s="33" t="str">
        <f>_xlfn.XLOOKUP(Transactions[[#This Row],[Sub-category]], [1]!TblDV[Sub-category],[1]!TblDV[Category Type],"")</f>
        <v>Expense</v>
      </c>
      <c r="I478" s="34" t="s">
        <v>62</v>
      </c>
    </row>
    <row r="479" spans="1:9" x14ac:dyDescent="0.35">
      <c r="A479" t="s">
        <v>5</v>
      </c>
      <c r="B479" s="30">
        <v>44496</v>
      </c>
      <c r="C479" s="48">
        <v>5</v>
      </c>
      <c r="D479" s="48"/>
      <c r="E479" s="51">
        <f t="shared" si="7"/>
        <v>-5</v>
      </c>
      <c r="F479" s="33" t="s">
        <v>63</v>
      </c>
      <c r="G479" s="33" t="str">
        <f>_xlfn.XLOOKUP(Transactions[[#This Row],[Sub-category]], [1]!TblDV[Sub-category],[1]!TblDV[Category],"")</f>
        <v>Dining Out</v>
      </c>
      <c r="H479" s="33" t="str">
        <f>_xlfn.XLOOKUP(Transactions[[#This Row],[Sub-category]], [1]!TblDV[Sub-category],[1]!TblDV[Category Type],"")</f>
        <v>Expense</v>
      </c>
      <c r="I479" s="34" t="s">
        <v>62</v>
      </c>
    </row>
    <row r="480" spans="1:9" x14ac:dyDescent="0.35">
      <c r="A480" t="s">
        <v>5</v>
      </c>
      <c r="B480" s="30">
        <v>44497</v>
      </c>
      <c r="C480" s="48">
        <v>5</v>
      </c>
      <c r="D480" s="48"/>
      <c r="E480" s="51">
        <f t="shared" si="7"/>
        <v>-5</v>
      </c>
      <c r="F480" s="33" t="s">
        <v>63</v>
      </c>
      <c r="G480" s="33" t="str">
        <f>_xlfn.XLOOKUP(Transactions[[#This Row],[Sub-category]], [1]!TblDV[Sub-category],[1]!TblDV[Category],"")</f>
        <v>Dining Out</v>
      </c>
      <c r="H480" s="33" t="str">
        <f>_xlfn.XLOOKUP(Transactions[[#This Row],[Sub-category]], [1]!TblDV[Sub-category],[1]!TblDV[Category Type],"")</f>
        <v>Expense</v>
      </c>
      <c r="I480" s="34" t="s">
        <v>62</v>
      </c>
    </row>
    <row r="481" spans="1:9" x14ac:dyDescent="0.35">
      <c r="A481" t="s">
        <v>5</v>
      </c>
      <c r="B481" s="30">
        <v>44498</v>
      </c>
      <c r="C481" s="48">
        <v>5</v>
      </c>
      <c r="D481" s="48"/>
      <c r="E481" s="51">
        <f t="shared" si="7"/>
        <v>-5</v>
      </c>
      <c r="F481" s="33" t="s">
        <v>63</v>
      </c>
      <c r="G481" s="33" t="str">
        <f>_xlfn.XLOOKUP(Transactions[[#This Row],[Sub-category]], [1]!TblDV[Sub-category],[1]!TblDV[Category],"")</f>
        <v>Dining Out</v>
      </c>
      <c r="H481" s="33" t="str">
        <f>_xlfn.XLOOKUP(Transactions[[#This Row],[Sub-category]], [1]!TblDV[Sub-category],[1]!TblDV[Category Type],"")</f>
        <v>Expense</v>
      </c>
      <c r="I481" s="34" t="s">
        <v>62</v>
      </c>
    </row>
    <row r="482" spans="1:9" x14ac:dyDescent="0.35">
      <c r="A482" t="s">
        <v>5</v>
      </c>
      <c r="B482" s="30">
        <v>44498</v>
      </c>
      <c r="C482" s="48">
        <v>189</v>
      </c>
      <c r="D482" s="48"/>
      <c r="E482" s="51">
        <f t="shared" si="7"/>
        <v>-189</v>
      </c>
      <c r="F482" s="33" t="s">
        <v>14</v>
      </c>
      <c r="G482" s="33" t="str">
        <f>_xlfn.XLOOKUP(Transactions[[#This Row],[Sub-category]], [1]!TblDV[Sub-category],[1]!TblDV[Category],"")</f>
        <v>Living Expenses</v>
      </c>
      <c r="H482" s="33" t="str">
        <f>_xlfn.XLOOKUP(Transactions[[#This Row],[Sub-category]], [1]!TblDV[Sub-category],[1]!TblDV[Category Type],"")</f>
        <v>Expense</v>
      </c>
      <c r="I482" s="34" t="s">
        <v>66</v>
      </c>
    </row>
    <row r="483" spans="1:9" x14ac:dyDescent="0.35">
      <c r="A483" t="s">
        <v>5</v>
      </c>
      <c r="B483" s="30">
        <v>44499</v>
      </c>
      <c r="C483" s="48">
        <v>133.80000000000001</v>
      </c>
      <c r="D483" s="48"/>
      <c r="E483" s="51">
        <f t="shared" si="7"/>
        <v>-133.80000000000001</v>
      </c>
      <c r="F483" s="33" t="s">
        <v>16</v>
      </c>
      <c r="G483" s="33" t="str">
        <f>_xlfn.XLOOKUP(Transactions[[#This Row],[Sub-category]], [1]!TblDV[Sub-category],[1]!TblDV[Category],"")</f>
        <v>Discretionary</v>
      </c>
      <c r="H483" s="33" t="str">
        <f>_xlfn.XLOOKUP(Transactions[[#This Row],[Sub-category]], [1]!TblDV[Sub-category],[1]!TblDV[Category Type],"")</f>
        <v>Expense</v>
      </c>
      <c r="I483" s="34" t="s">
        <v>82</v>
      </c>
    </row>
    <row r="484" spans="1:9" x14ac:dyDescent="0.35">
      <c r="A484" t="s">
        <v>5</v>
      </c>
      <c r="B484" s="30">
        <v>44499</v>
      </c>
      <c r="C484" s="48">
        <v>184.39999999999998</v>
      </c>
      <c r="D484" s="48"/>
      <c r="E484" s="51">
        <f t="shared" si="7"/>
        <v>-184.39999999999998</v>
      </c>
      <c r="F484" s="33" t="s">
        <v>15</v>
      </c>
      <c r="G484" s="33" t="str">
        <f>_xlfn.XLOOKUP(Transactions[[#This Row],[Sub-category]], [1]!TblDV[Sub-category],[1]!TblDV[Category],"")</f>
        <v>Discretionary</v>
      </c>
      <c r="H484" s="33" t="str">
        <f>_xlfn.XLOOKUP(Transactions[[#This Row],[Sub-category]], [1]!TblDV[Sub-category],[1]!TblDV[Category Type],"")</f>
        <v>Expense</v>
      </c>
      <c r="I484" s="34" t="s">
        <v>83</v>
      </c>
    </row>
    <row r="485" spans="1:9" x14ac:dyDescent="0.35">
      <c r="A485" t="s">
        <v>5</v>
      </c>
      <c r="B485" s="30">
        <v>44500</v>
      </c>
      <c r="C485" s="48">
        <v>154.49999999999997</v>
      </c>
      <c r="D485" s="48"/>
      <c r="E485" s="51">
        <f t="shared" si="7"/>
        <v>-154.49999999999997</v>
      </c>
      <c r="F485" s="33" t="s">
        <v>16</v>
      </c>
      <c r="G485" s="33" t="str">
        <f>_xlfn.XLOOKUP(Transactions[[#This Row],[Sub-category]], [1]!TblDV[Sub-category],[1]!TblDV[Category],"")</f>
        <v>Discretionary</v>
      </c>
      <c r="H485" s="33" t="str">
        <f>_xlfn.XLOOKUP(Transactions[[#This Row],[Sub-category]], [1]!TblDV[Sub-category],[1]!TblDV[Category Type],"")</f>
        <v>Expense</v>
      </c>
      <c r="I485" s="34" t="s">
        <v>70</v>
      </c>
    </row>
    <row r="486" spans="1:9" x14ac:dyDescent="0.35">
      <c r="A486" t="s">
        <v>5</v>
      </c>
      <c r="B486" s="30">
        <v>44500</v>
      </c>
      <c r="C486" s="48">
        <v>32.1</v>
      </c>
      <c r="D486" s="48"/>
      <c r="E486" s="51">
        <f t="shared" si="7"/>
        <v>-32.1</v>
      </c>
      <c r="F486" s="33" t="s">
        <v>27</v>
      </c>
      <c r="G486" s="33" t="str">
        <f>_xlfn.XLOOKUP(Transactions[[#This Row],[Sub-category]], [1]!TblDV[Sub-category],[1]!TblDV[Category],"")</f>
        <v>Transport</v>
      </c>
      <c r="H486" s="33" t="str">
        <f>_xlfn.XLOOKUP(Transactions[[#This Row],[Sub-category]], [1]!TblDV[Sub-category],[1]!TblDV[Category Type],"")</f>
        <v>Expense</v>
      </c>
      <c r="I486" s="34" t="s">
        <v>73</v>
      </c>
    </row>
    <row r="487" spans="1:9" x14ac:dyDescent="0.35">
      <c r="A487" t="s">
        <v>5</v>
      </c>
      <c r="B487" s="30">
        <v>44500</v>
      </c>
      <c r="C487" s="48">
        <v>15</v>
      </c>
      <c r="D487" s="48"/>
      <c r="E487" s="51">
        <f t="shared" si="7"/>
        <v>-15</v>
      </c>
      <c r="F487" s="33" t="s">
        <v>72</v>
      </c>
      <c r="G487" s="33" t="str">
        <f>_xlfn.XLOOKUP(Transactions[[#This Row],[Sub-category]], [1]!TblDV[Sub-category],[1]!TblDV[Category],"")</f>
        <v>Dining Out</v>
      </c>
      <c r="H487" s="33" t="str">
        <f>_xlfn.XLOOKUP(Transactions[[#This Row],[Sub-category]], [1]!TblDV[Sub-category],[1]!TblDV[Category Type],"")</f>
        <v>Expense</v>
      </c>
      <c r="I487" s="34" t="s">
        <v>87</v>
      </c>
    </row>
    <row r="488" spans="1:9" x14ac:dyDescent="0.35">
      <c r="B488" s="3"/>
      <c r="H488" s="4"/>
    </row>
    <row r="489" spans="1:9" x14ac:dyDescent="0.35">
      <c r="B489" s="3"/>
      <c r="H489" s="4"/>
    </row>
    <row r="490" spans="1:9" x14ac:dyDescent="0.35">
      <c r="B490" s="3"/>
      <c r="H490" s="4"/>
    </row>
    <row r="491" spans="1:9" x14ac:dyDescent="0.35">
      <c r="B491" s="3"/>
      <c r="H491" s="4"/>
    </row>
    <row r="492" spans="1:9" x14ac:dyDescent="0.35">
      <c r="B492" s="3"/>
      <c r="H492" s="4"/>
    </row>
    <row r="493" spans="1:9" x14ac:dyDescent="0.35">
      <c r="B493" s="3"/>
      <c r="H493" s="4"/>
    </row>
    <row r="494" spans="1:9" x14ac:dyDescent="0.35">
      <c r="B494" s="3"/>
      <c r="H494" s="4"/>
    </row>
    <row r="495" spans="1:9" x14ac:dyDescent="0.35">
      <c r="B495" s="3"/>
      <c r="H495" s="4"/>
    </row>
    <row r="496" spans="1:9" x14ac:dyDescent="0.35">
      <c r="B496" s="3"/>
      <c r="H496" s="4"/>
    </row>
    <row r="497" spans="2:8" x14ac:dyDescent="0.35">
      <c r="B497" s="3"/>
      <c r="H497" s="4"/>
    </row>
    <row r="498" spans="2:8" x14ac:dyDescent="0.35">
      <c r="B498" s="3"/>
      <c r="H498" s="4"/>
    </row>
    <row r="499" spans="2:8" x14ac:dyDescent="0.35">
      <c r="B499" s="3"/>
      <c r="H499" s="4"/>
    </row>
    <row r="500" spans="2:8" x14ac:dyDescent="0.35">
      <c r="B500" s="3"/>
      <c r="H500" s="4"/>
    </row>
    <row r="501" spans="2:8" x14ac:dyDescent="0.35">
      <c r="B501" s="3"/>
      <c r="H501" s="4"/>
    </row>
    <row r="502" spans="2:8" x14ac:dyDescent="0.35">
      <c r="B502" s="3"/>
      <c r="H502" s="4"/>
    </row>
    <row r="503" spans="2:8" x14ac:dyDescent="0.35">
      <c r="B503" s="3"/>
      <c r="H503" s="4"/>
    </row>
    <row r="504" spans="2:8" x14ac:dyDescent="0.35">
      <c r="B504" s="3"/>
      <c r="H504" s="4"/>
    </row>
    <row r="505" spans="2:8" x14ac:dyDescent="0.35">
      <c r="B505" s="3"/>
      <c r="H505" s="4"/>
    </row>
    <row r="506" spans="2:8" x14ac:dyDescent="0.35">
      <c r="B506" s="3"/>
      <c r="H506" s="4"/>
    </row>
    <row r="507" spans="2:8" x14ac:dyDescent="0.35">
      <c r="B507" s="3"/>
      <c r="H507" s="4"/>
    </row>
    <row r="508" spans="2:8" x14ac:dyDescent="0.35">
      <c r="B508" s="3"/>
      <c r="H508" s="4"/>
    </row>
    <row r="509" spans="2:8" x14ac:dyDescent="0.35">
      <c r="B509" s="3"/>
      <c r="H509" s="4"/>
    </row>
    <row r="510" spans="2:8" x14ac:dyDescent="0.35">
      <c r="B510" s="3"/>
      <c r="H510" s="4"/>
    </row>
    <row r="511" spans="2:8" x14ac:dyDescent="0.35">
      <c r="B511" s="3"/>
      <c r="H511" s="4"/>
    </row>
    <row r="512" spans="2:8" x14ac:dyDescent="0.35">
      <c r="B512" s="3"/>
      <c r="H512" s="4"/>
    </row>
    <row r="513" spans="2:8" x14ac:dyDescent="0.35">
      <c r="B513" s="3"/>
      <c r="H513" s="4"/>
    </row>
    <row r="514" spans="2:8" x14ac:dyDescent="0.35">
      <c r="B514" s="3"/>
      <c r="H514" s="4"/>
    </row>
    <row r="515" spans="2:8" x14ac:dyDescent="0.35">
      <c r="B515" s="3"/>
      <c r="H515" s="4"/>
    </row>
    <row r="516" spans="2:8" x14ac:dyDescent="0.35">
      <c r="B516" s="3"/>
      <c r="H516" s="4"/>
    </row>
    <row r="517" spans="2:8" x14ac:dyDescent="0.35">
      <c r="B517" s="3"/>
      <c r="H517" s="4"/>
    </row>
    <row r="518" spans="2:8" x14ac:dyDescent="0.35">
      <c r="B518" s="3"/>
      <c r="H518" s="4"/>
    </row>
    <row r="519" spans="2:8" x14ac:dyDescent="0.35">
      <c r="B519" s="3"/>
      <c r="H519" s="4"/>
    </row>
    <row r="520" spans="2:8" x14ac:dyDescent="0.35">
      <c r="B520" s="3"/>
      <c r="H520" s="4"/>
    </row>
    <row r="521" spans="2:8" x14ac:dyDescent="0.35">
      <c r="B521" s="3"/>
      <c r="H521" s="4"/>
    </row>
    <row r="522" spans="2:8" x14ac:dyDescent="0.35">
      <c r="B522" s="3"/>
      <c r="H522" s="4"/>
    </row>
    <row r="523" spans="2:8" x14ac:dyDescent="0.35">
      <c r="B523" s="3"/>
      <c r="H523" s="4"/>
    </row>
    <row r="524" spans="2:8" x14ac:dyDescent="0.35">
      <c r="B524" s="3"/>
      <c r="H524" s="4"/>
    </row>
    <row r="525" spans="2:8" x14ac:dyDescent="0.35">
      <c r="B525" s="3"/>
      <c r="H525" s="4"/>
    </row>
    <row r="526" spans="2:8" x14ac:dyDescent="0.35">
      <c r="B526" s="3"/>
      <c r="H526" s="4"/>
    </row>
    <row r="527" spans="2:8" x14ac:dyDescent="0.35">
      <c r="B527" s="3"/>
      <c r="H527" s="4"/>
    </row>
    <row r="528" spans="2:8" x14ac:dyDescent="0.35">
      <c r="B528" s="3"/>
      <c r="H528" s="4"/>
    </row>
    <row r="529" spans="2:8" x14ac:dyDescent="0.35">
      <c r="B529" s="3"/>
      <c r="H529" s="4"/>
    </row>
    <row r="530" spans="2:8" x14ac:dyDescent="0.35">
      <c r="B530" s="3"/>
      <c r="H530" s="4"/>
    </row>
    <row r="531" spans="2:8" x14ac:dyDescent="0.35">
      <c r="B531" s="3"/>
      <c r="H531" s="4"/>
    </row>
    <row r="532" spans="2:8" x14ac:dyDescent="0.35">
      <c r="B532" s="3"/>
      <c r="H532" s="4"/>
    </row>
    <row r="533" spans="2:8" x14ac:dyDescent="0.35">
      <c r="B533" s="3"/>
      <c r="H533" s="4"/>
    </row>
    <row r="534" spans="2:8" x14ac:dyDescent="0.35">
      <c r="B534" s="3"/>
      <c r="H534" s="4"/>
    </row>
    <row r="535" spans="2:8" x14ac:dyDescent="0.35">
      <c r="B535" s="3"/>
      <c r="H535" s="4"/>
    </row>
    <row r="536" spans="2:8" x14ac:dyDescent="0.35">
      <c r="B536" s="3"/>
      <c r="H536" s="4"/>
    </row>
  </sheetData>
  <dataValidations count="1">
    <dataValidation type="list" allowBlank="1" showInputMessage="1" showErrorMessage="1" sqref="F2:F487" xr:uid="{00190525-9E36-4DBA-A18C-998F42885E26}">
      <formula1>Categories</formula1>
    </dataValidation>
  </dataValidation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88CEC-0A0D-4342-B4C0-CAB0B837EA59}">
  <sheetPr codeName="Sheet4"/>
  <dimension ref="B1:H27"/>
  <sheetViews>
    <sheetView workbookViewId="0">
      <selection activeCell="H12" sqref="H12"/>
    </sheetView>
  </sheetViews>
  <sheetFormatPr defaultRowHeight="14.5" x14ac:dyDescent="0.35"/>
  <cols>
    <col min="1" max="1" width="3.26953125" style="23" customWidth="1"/>
    <col min="2" max="4" width="15.7265625" style="23" customWidth="1"/>
    <col min="5" max="5" width="8.7265625" style="23"/>
    <col min="6" max="6" width="9.6328125" style="23" customWidth="1"/>
    <col min="7" max="7" width="8.7265625" style="23"/>
    <col min="8" max="8" width="31.6328125" style="23" customWidth="1"/>
    <col min="9" max="16384" width="8.7265625" style="23"/>
  </cols>
  <sheetData>
    <row r="1" spans="2:8" x14ac:dyDescent="0.35">
      <c r="B1" s="26" t="s">
        <v>33</v>
      </c>
      <c r="C1" s="26" t="s">
        <v>3</v>
      </c>
      <c r="D1" s="26" t="s">
        <v>6</v>
      </c>
      <c r="F1" s="27" t="s">
        <v>2</v>
      </c>
      <c r="H1" s="27" t="s">
        <v>0</v>
      </c>
    </row>
    <row r="2" spans="2:8" x14ac:dyDescent="0.35">
      <c r="B2" s="23" t="s">
        <v>44</v>
      </c>
      <c r="C2" s="23" t="s">
        <v>18</v>
      </c>
      <c r="D2" s="23" t="s">
        <v>11</v>
      </c>
      <c r="F2" s="23" t="s">
        <v>9</v>
      </c>
      <c r="H2" s="45">
        <f ca="1">TODAY()</f>
        <v>45071</v>
      </c>
    </row>
    <row r="3" spans="2:8" x14ac:dyDescent="0.35">
      <c r="B3" s="23" t="s">
        <v>43</v>
      </c>
      <c r="C3" s="23" t="s">
        <v>18</v>
      </c>
      <c r="D3" s="23" t="s">
        <v>11</v>
      </c>
      <c r="F3" s="23" t="s">
        <v>5</v>
      </c>
      <c r="H3" s="45">
        <f ca="1">TODAY()-1</f>
        <v>45070</v>
      </c>
    </row>
    <row r="4" spans="2:8" x14ac:dyDescent="0.35">
      <c r="B4" s="23" t="s">
        <v>45</v>
      </c>
      <c r="C4" s="23" t="s">
        <v>18</v>
      </c>
      <c r="D4" s="23" t="s">
        <v>11</v>
      </c>
      <c r="H4" s="45">
        <f ca="1">TODAY()-2</f>
        <v>45069</v>
      </c>
    </row>
    <row r="5" spans="2:8" x14ac:dyDescent="0.35">
      <c r="B5" s="23" t="s">
        <v>38</v>
      </c>
      <c r="C5" s="23" t="s">
        <v>18</v>
      </c>
      <c r="D5" s="23" t="s">
        <v>11</v>
      </c>
      <c r="H5" s="45">
        <f ca="1">TODAY()-3</f>
        <v>45068</v>
      </c>
    </row>
    <row r="6" spans="2:8" x14ac:dyDescent="0.35">
      <c r="B6" s="23" t="s">
        <v>27</v>
      </c>
      <c r="C6" s="23" t="s">
        <v>21</v>
      </c>
      <c r="D6" s="23" t="s">
        <v>11</v>
      </c>
      <c r="H6" s="45">
        <f ca="1">TODAY()-4</f>
        <v>45067</v>
      </c>
    </row>
    <row r="7" spans="2:8" x14ac:dyDescent="0.35">
      <c r="B7" s="23" t="s">
        <v>7</v>
      </c>
      <c r="C7" s="23" t="s">
        <v>8</v>
      </c>
      <c r="D7" s="23" t="s">
        <v>8</v>
      </c>
      <c r="H7" s="45">
        <f ca="1">TODAY()-5</f>
        <v>45066</v>
      </c>
    </row>
    <row r="8" spans="2:8" x14ac:dyDescent="0.35">
      <c r="B8" s="23" t="s">
        <v>42</v>
      </c>
      <c r="C8" s="23" t="s">
        <v>8</v>
      </c>
      <c r="D8" s="23" t="s">
        <v>8</v>
      </c>
      <c r="H8" s="45">
        <f ca="1">TODAY()-6</f>
        <v>45065</v>
      </c>
    </row>
    <row r="9" spans="2:8" x14ac:dyDescent="0.35">
      <c r="B9" s="23" t="s">
        <v>40</v>
      </c>
      <c r="C9" s="23" t="s">
        <v>8</v>
      </c>
      <c r="D9" s="23" t="s">
        <v>8</v>
      </c>
      <c r="H9" s="25"/>
    </row>
    <row r="10" spans="2:8" x14ac:dyDescent="0.35">
      <c r="B10" s="23" t="s">
        <v>14</v>
      </c>
      <c r="C10" s="23" t="s">
        <v>25</v>
      </c>
      <c r="D10" s="23" t="s">
        <v>11</v>
      </c>
    </row>
    <row r="11" spans="2:8" x14ac:dyDescent="0.35">
      <c r="B11" s="23" t="s">
        <v>59</v>
      </c>
      <c r="C11" s="23" t="s">
        <v>25</v>
      </c>
      <c r="D11" s="23" t="s">
        <v>11</v>
      </c>
    </row>
    <row r="12" spans="2:8" x14ac:dyDescent="0.35">
      <c r="B12" s="23" t="s">
        <v>60</v>
      </c>
      <c r="C12" s="23" t="s">
        <v>26</v>
      </c>
      <c r="D12" s="23" t="s">
        <v>11</v>
      </c>
    </row>
    <row r="13" spans="2:8" x14ac:dyDescent="0.35">
      <c r="B13" s="23" t="s">
        <v>12</v>
      </c>
      <c r="C13" s="23" t="s">
        <v>25</v>
      </c>
      <c r="D13" s="23" t="s">
        <v>11</v>
      </c>
    </row>
    <row r="14" spans="2:8" x14ac:dyDescent="0.35">
      <c r="B14" s="23" t="s">
        <v>10</v>
      </c>
      <c r="C14" s="23" t="s">
        <v>25</v>
      </c>
      <c r="D14" s="23" t="s">
        <v>11</v>
      </c>
    </row>
    <row r="15" spans="2:8" x14ac:dyDescent="0.35">
      <c r="B15" s="23" t="s">
        <v>15</v>
      </c>
      <c r="C15" s="23" t="s">
        <v>26</v>
      </c>
      <c r="D15" s="23" t="s">
        <v>11</v>
      </c>
    </row>
    <row r="16" spans="2:8" x14ac:dyDescent="0.35">
      <c r="B16" s="23" t="s">
        <v>16</v>
      </c>
      <c r="C16" s="23" t="s">
        <v>26</v>
      </c>
      <c r="D16" s="23" t="s">
        <v>11</v>
      </c>
    </row>
    <row r="17" spans="2:4" x14ac:dyDescent="0.35">
      <c r="B17" s="23" t="s">
        <v>22</v>
      </c>
      <c r="C17" s="23" t="s">
        <v>26</v>
      </c>
      <c r="D17" s="23" t="s">
        <v>11</v>
      </c>
    </row>
    <row r="18" spans="2:4" x14ac:dyDescent="0.35">
      <c r="B18" s="23" t="s">
        <v>17</v>
      </c>
      <c r="C18" s="23" t="s">
        <v>26</v>
      </c>
      <c r="D18" s="23" t="s">
        <v>11</v>
      </c>
    </row>
    <row r="19" spans="2:4" x14ac:dyDescent="0.35">
      <c r="B19" s="23" t="s">
        <v>13</v>
      </c>
      <c r="C19" s="23" t="s">
        <v>21</v>
      </c>
      <c r="D19" s="23" t="s">
        <v>11</v>
      </c>
    </row>
    <row r="20" spans="2:4" x14ac:dyDescent="0.35">
      <c r="B20" s="23" t="s">
        <v>29</v>
      </c>
      <c r="C20" s="23" t="s">
        <v>21</v>
      </c>
      <c r="D20" s="23" t="s">
        <v>11</v>
      </c>
    </row>
    <row r="21" spans="2:4" x14ac:dyDescent="0.35">
      <c r="B21" s="23" t="s">
        <v>30</v>
      </c>
      <c r="C21" s="23" t="s">
        <v>25</v>
      </c>
      <c r="D21" s="23" t="s">
        <v>11</v>
      </c>
    </row>
    <row r="22" spans="2:4" x14ac:dyDescent="0.35">
      <c r="B22" s="23" t="s">
        <v>39</v>
      </c>
      <c r="C22" s="23" t="s">
        <v>26</v>
      </c>
      <c r="D22" s="23" t="s">
        <v>11</v>
      </c>
    </row>
    <row r="23" spans="2:4" x14ac:dyDescent="0.35">
      <c r="B23" s="23" t="s">
        <v>46</v>
      </c>
      <c r="C23" s="23" t="s">
        <v>26</v>
      </c>
      <c r="D23" s="23" t="s">
        <v>11</v>
      </c>
    </row>
    <row r="24" spans="2:4" x14ac:dyDescent="0.35">
      <c r="B24" s="23" t="s">
        <v>19</v>
      </c>
      <c r="C24" s="23" t="s">
        <v>20</v>
      </c>
      <c r="D24" s="23" t="s">
        <v>11</v>
      </c>
    </row>
    <row r="25" spans="2:4" x14ac:dyDescent="0.35">
      <c r="B25" s="23" t="s">
        <v>31</v>
      </c>
      <c r="C25" s="23" t="s">
        <v>20</v>
      </c>
      <c r="D25" s="23" t="s">
        <v>11</v>
      </c>
    </row>
    <row r="26" spans="2:4" x14ac:dyDescent="0.35">
      <c r="B26" s="23" t="s">
        <v>32</v>
      </c>
      <c r="C26" s="23" t="s">
        <v>26</v>
      </c>
      <c r="D26" s="23" t="s">
        <v>11</v>
      </c>
    </row>
    <row r="27" spans="2:4" x14ac:dyDescent="0.35">
      <c r="B27" s="23" t="s">
        <v>23</v>
      </c>
      <c r="C27" s="23" t="s">
        <v>24</v>
      </c>
      <c r="D27" s="23" t="s">
        <v>11</v>
      </c>
    </row>
  </sheetData>
  <conditionalFormatting sqref="B2:D1048576">
    <cfRule type="notContainsBlanks" dxfId="53" priority="4">
      <formula>LEN(TRIM(B2))&gt;0</formula>
    </cfRule>
  </conditionalFormatting>
  <conditionalFormatting sqref="F2:F1048576">
    <cfRule type="notContainsBlanks" dxfId="52" priority="2">
      <formula>LEN(TRIM(F2))&gt;0</formula>
    </cfRule>
  </conditionalFormatting>
  <conditionalFormatting sqref="H2:H1048576">
    <cfRule type="notContainsBlanks" priority="1">
      <formula>LEN(TRIM(H2))&gt;0</formula>
    </cfRule>
  </conditionalFormatting>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00A517-D961-4037-909A-5DFE49EF19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Input</vt:lpstr>
      <vt:lpstr>Dashboard</vt:lpstr>
      <vt:lpstr>Analysis</vt:lpstr>
      <vt:lpstr>Transactions</vt:lpstr>
      <vt:lpstr>Data Validation</vt:lpstr>
      <vt:lpstr>Account</vt:lpstr>
      <vt:lpstr>last7Days</vt:lpstr>
      <vt:lpstr>sub_categories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Mynda Treacy</dc:creator>
  <cp:lastModifiedBy>USER</cp:lastModifiedBy>
  <dcterms:created xsi:type="dcterms:W3CDTF">2019-08-20T08:51:45Z</dcterms:created>
  <dcterms:modified xsi:type="dcterms:W3CDTF">2023-05-25T08:51:10Z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02b84695-4a78-46f7-82bd-1e46fd6e4c51</vt:lpwstr>
  </property>
  <property fmtid="{D5CDD505-2E9C-101B-9397-08002B2CF9AE}" pid="3" name="Workbook type">
    <vt:lpwstr>Custom</vt:lpwstr>
  </property>
  <property fmtid="{D5CDD505-2E9C-101B-9397-08002B2CF9AE}" pid="4" name="Workbook version">
    <vt:lpwstr>Custom</vt:lpwstr>
  </property>
</Properties>
</file>